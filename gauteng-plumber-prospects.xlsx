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91f181553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5726ae0eae64789"/>
    <x:sheet xmlns:r="http://schemas.openxmlformats.org/officeDocument/2006/relationships" name="Prospects" sheetId="2" r:id="Rd213e20740134d5f"/>
    <x:sheet xmlns:r="http://schemas.openxmlformats.org/officeDocument/2006/relationships" name="Top Outreach Queue" sheetId="3" r:id="R9816dac033d9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63A2B"/>
      <x:name val="Carlito"/>
    </x:font>
    <x:font>
      <x:b/>
      <x:sz val="20"/>
      <x:color rgb="FFFFFFFF"/>
      <x:name val="Carlito"/>
    </x:font>
    <x:font>
      <x:b/>
      <x:sz val="15"/>
      <x:color rgb="FF0B5D3B"/>
      <x:name val="Carlito"/>
    </x:font>
    <x:font>
      <x:sz val="11"/>
      <x:color rgb="FF24372E"/>
      <x:name val="Carlito"/>
    </x:font>
    <x:font>
      <x:i/>
      <x:sz val="11"/>
      <x:color rgb="FF6B51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E5F1EA"/>
      </x:patternFill>
    </x:fill>
    <x:fill>
      <x:patternFill patternType="solid">
        <x:fgColor rgb="FFF6FAF7"/>
      </x:patternFill>
    </x:fill>
    <x:fill>
      <x:patternFill patternType="solid">
        <x:fgColor rgb="FFFFF4D6"/>
      </x:patternFill>
    </x:fill>
  </x:fills>
  <x:borders count="16">
    <x:border/>
    <x:border>
      <x:left style="thin">
        <x:color rgb="FFD5E4DB"/>
      </x:left>
      <x:right style="thin">
        <x:color rgb="FFD5E4DB"/>
      </x:right>
      <x:top style="thin">
        <x:color rgb="FFD5E4DB"/>
      </x:top>
      <x:bottom style="thin">
        <x:color rgb="FFD5E4DB"/>
      </x:bottom>
    </x:border>
    <x:border>
      <x:left style="thin">
        <x:color rgb="FFD9E5DE"/>
      </x:left>
      <x:right style="thin">
        <x:color rgb="FFD9E5DE"/>
      </x:right>
      <x:top style="thin">
        <x:color rgb="FFD9E5DE"/>
      </x:top>
      <x:bottom style="thin">
        <x:color rgb="FFD9E5DE"/>
      </x:bottom>
    </x:border>
    <x:border>
      <x:left style="thin">
        <x:color rgb="FFB9D2C3"/>
      </x:left>
      <x:right style="thin">
        <x:color rgb="FFB9D2C3"/>
      </x:right>
      <x:top style="thin">
        <x:color rgb="FFB9D2C3"/>
      </x:top>
      <x:bottom style="thin">
        <x:color rgb="FFB9D2C3"/>
      </x:bottom>
    </x:border>
    <x:border>
      <x:left style="thin">
        <x:color rgb="FFC9DCCE"/>
      </x:left>
      <x:right style="thin">
        <x:color rgb="FFC9DCCE"/>
      </x:right>
      <x:top style="thin">
        <x:color rgb="FFC9DCCE"/>
      </x:top>
      <x:bottom style="thin">
        <x:color rgb="FFC9DCCE"/>
      </x:bottom>
    </x:border>
    <x:border>
      <x:left style="thin">
        <x:color rgb="FFC9DCCE"/>
      </x:left>
      <x:top style="thin">
        <x:color rgb="FFC9DCCE"/>
      </x:top>
    </x:border>
    <x:border>
      <x:top style="thin">
        <x:color rgb="FFC9DCCE"/>
      </x:top>
    </x:border>
    <x:border>
      <x:right style="thin">
        <x:color rgb="FFC9DCCE"/>
      </x:right>
      <x:top style="thin">
        <x:color rgb="FFC9DCCE"/>
      </x:top>
    </x:border>
    <x:border>
      <x:left style="thin">
        <x:color rgb="FFC9DCCE"/>
      </x:left>
    </x:border>
    <x:border>
      <x:right style="thin">
        <x:color rgb="FFC9DCCE"/>
      </x:right>
    </x:border>
    <x:border>
      <x:left style="thin">
        <x:color rgb="FFC9DCCE"/>
      </x:left>
      <x:bottom style="thin">
        <x:color rgb="FFC9DCCE"/>
      </x:bottom>
    </x:border>
    <x:border>
      <x:bottom style="thin">
        <x:color rgb="FFC9DCCE"/>
      </x:bottom>
    </x:border>
    <x:border>
      <x:right style="thin">
        <x:color rgb="FFC9DCCE"/>
      </x:right>
      <x:bottom style="thin">
        <x:color rgb="FFC9DCCE"/>
      </x:bottom>
    </x:border>
    <x:border>
      <x:left style="thin">
        <x:color rgb="FFE6CF8B"/>
      </x:left>
      <x:top style="thin">
        <x:color rgb="FFE6CF8B"/>
      </x:top>
      <x:bottom style="thin">
        <x:color rgb="FFE6CF8B"/>
      </x:bottom>
    </x:border>
    <x:border>
      <x:top style="thin">
        <x:color rgb="FFE6CF8B"/>
      </x:top>
      <x:bottom style="thin">
        <x:color rgb="FFE6CF8B"/>
      </x:bottom>
    </x:border>
    <x:border>
      <x:right style="thin">
        <x:color rgb="FFE6CF8B"/>
      </x:right>
      <x:top style="thin">
        <x:color rgb="FFE6CF8B"/>
      </x:top>
      <x:bottom style="thin">
        <x:color rgb="FFE6CF8B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3" borderId="4" xfId="0" applyNumberFormat="1" applyFont="1" applyFill="1" applyBorder="1"/>
    <x:xf numFmtId="0" fontId="3" fillId="3" borderId="4" xfId="0" applyNumberFormat="1" applyFont="1" applyFill="1" applyBorder="1"/>
    <x:xf numFmtId="0" fontId="5" fillId="0" borderId="4" xfId="0" applyNumberFormat="1" applyFont="1" applyFill="1" applyBorder="1"/>
    <x:xf numFmtId="0" fontId="5" fillId="0" borderId="4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2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6" fillId="4" borderId="7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4" borderId="11" xfId="0" applyNumberFormat="1" applyFont="1" applyFill="1" applyBorder="1" applyAlignment="1">
      <x:alignment vertical="top" wrapText="1"/>
    </x:xf>
    <x:xf numFmtId="0" fontId="6" fillId="4" borderId="1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B5D3B"/>
      </x:font>
      <x:fill>
        <x:patternFill patternType="solid">
          <x:bgColor rgb="FFD9F2E5"/>
        </x:patternFill>
      </x:fill>
    </x:dxf>
    <x:dxf>
      <x:font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71453d6184a57" /><Relationship Type="http://schemas.openxmlformats.org/officeDocument/2006/relationships/theme" Target="/xl/theme/theme1.xml" Id="R33157f4bc93b4f34" /><Relationship Type="http://schemas.openxmlformats.org/officeDocument/2006/relationships/sharedStrings" Target="/xl/sharedStrings.xml" Id="Rc0e8ab91fd4848ed" /><Relationship Type="http://schemas.openxmlformats.org/officeDocument/2006/relationships/worksheet" Target="/xl/worksheets/sheet1.xml" Id="R15726ae0eae64789" /><Relationship Type="http://schemas.openxmlformats.org/officeDocument/2006/relationships/worksheet" Target="/xl/worksheets/sheet2.xml" Id="Rd213e20740134d5f" /><Relationship Type="http://schemas.openxmlformats.org/officeDocument/2006/relationships/worksheet" Target="/xl/worksheets/sheet3.xml" Id="R9816dac033d9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9" t="str">
        <x:v>Gauteng Plumber Prospect Dashboard</x:v>
      </x:c>
      <x:c r="B1" s="19" t="str">
        <x:v>Gauteng Plumber Prospect Dashboard</x:v>
      </x:c>
      <x:c r="C1" s="19" t="str">
        <x:v>Gauteng Plumber Prospect Dashboard</x:v>
      </x:c>
      <x:c r="D1" s="19" t="str">
        <x:v>Gauteng Plumber Prospect Dashboard</x:v>
      </x:c>
      <x:c r="E1" s="19" t="str">
        <x:v>Gauteng Plumber Prospect Dashboard</x:v>
      </x:c>
      <x:c r="F1" s="19" t="str">
        <x:v>Gauteng Plumber Prospect Dashboard</x:v>
      </x:c>
      <x:c r="G1" s="19" t="str">
        <x:v>Gauteng Plumber Prospect Dashboard</x:v>
      </x:c>
      <x:c r="H1" s="19" t="str">
        <x:v>Gauteng Plumber Prospect Dashboard</x:v>
      </x:c>
    </x:row>
    <x:row r="2">
      <x:c r="A2" s="19" t="str">
        <x:v>Gauteng Plumber Prospect Dashboard</x:v>
      </x:c>
      <x:c r="B2" s="19" t="str">
        <x:v>Gauteng Plumber Prospect Dashboard</x:v>
      </x:c>
      <x:c r="C2" s="19" t="str">
        <x:v>Gauteng Plumber Prospect Dashboard</x:v>
      </x:c>
      <x:c r="D2" s="19" t="str">
        <x:v>Gauteng Plumber Prospect Dashboard</x:v>
      </x:c>
      <x:c r="E2" s="19" t="str">
        <x:v>Gauteng Plumber Prospect Dashboard</x:v>
      </x:c>
      <x:c r="F2" s="19" t="str">
        <x:v>Gauteng Plumber Prospect Dashboard</x:v>
      </x:c>
      <x:c r="G2" s="19" t="str">
        <x:v>Gauteng Plumber Prospect Dashboard</x:v>
      </x:c>
      <x:c r="H2" s="19" t="str">
        <x:v>Gauteng Plumber Prospect Dashboard</x:v>
      </x:c>
    </x:row>
    <x:row r="4">
      <x:c r="A4" s="22" t="str">
        <x:v>Metric</x:v>
      </x:c>
      <x:c r="B4" s="22" t="str">
        <x:v>Value</x:v>
      </x:c>
      <x:c r="D4" s="25" t="str">
        <x:v>Recommended outreach approach</x:v>
      </x:c>
      <x:c r="E4" s="25" t="str">
        <x:v>Recommended outreach approach</x:v>
      </x:c>
      <x:c r="F4" s="25" t="str">
        <x:v>Recommended outreach approach</x:v>
      </x:c>
      <x:c r="G4" s="25" t="str">
        <x:v>Recommended outreach approach</x:v>
      </x:c>
      <x:c r="H4" s="25" t="str">
        <x:v>Recommended outreach approach</x:v>
      </x:c>
    </x:row>
    <x:row r="5">
      <x:c r="A5" s="20" t="str">
        <x:v>Total prospects</x:v>
      </x:c>
      <x:c r="B5" s="24" t="n">
        <x:f>COUNTA(Prospects!B2:B54)</x:f>
        <x:v>53</x:v>
      </x:c>
      <x:c r="D5" s="45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E5" s="46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F5" s="46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G5" s="46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H5" s="47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</x:row>
    <x:row r="6">
      <x:c r="A6" s="20" t="str">
        <x:v>New prospects added</x:v>
      </x:c>
      <x:c r="B6" s="24" t="n">
        <x:f>40</x:f>
        <x:v>40</x:v>
      </x:c>
      <x:c r="D6" s="48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E6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F6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G6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H6" s="50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</x:row>
    <x:row r="7">
      <x:c r="A7" s="20" t="str">
        <x:v>Highest-priority leads</x:v>
      </x:c>
      <x:c r="B7" s="24" t="n">
        <x:f>COUNTIF(Prospects!K2:K54,"Highest")</x:f>
        <x:v>10</x:v>
      </x:c>
      <x:c r="D7" s="48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E7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F7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G7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H7" s="50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</x:row>
    <x:row r="8">
      <x:c r="A8" s="20" t="str">
        <x:v>High-priority leads</x:v>
      </x:c>
      <x:c r="B8" s="24" t="n">
        <x:f>COUNTIF(Prospects!K2:K54,"High")</x:f>
        <x:v>6</x:v>
      </x:c>
      <x:c r="D8" s="48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E8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F8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G8" s="49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H8" s="50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</x:row>
    <x:row r="9">
      <x:c r="A9" s="20" t="str">
        <x:v>Reachable phone numbers</x:v>
      </x:c>
      <x:c r="B9" s="24" t="n">
        <x:f>COUNTIF(Prospects!D2:D54,"&lt;&gt;Not visible")</x:f>
        <x:v>50</x:v>
      </x:c>
      <x:c r="D9" s="51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E9" s="52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F9" s="52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G9" s="52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  <x:c r="H9" s="53" t="str">
        <x:v>1. Start with the Top Outreach Queue.
2. Send a personalised WhatsApp message with the Moloi Plumbers demo link.
3. Mention the prospect's review strength and show how a website can convert that trust into enquiries.
4. Follow up once after 2–3 business days.
5. Do not lead with 'Do you need a website?' — lead with the finished demo and a measurable business outcome.</x:v>
      </x:c>
    </x:row>
    <x:row r="10">
      <x:c r="A10" s="20" t="str">
        <x:v>No website visible</x:v>
      </x:c>
      <x:c r="B10" s="24" t="n">
        <x:f>COUNTIF(Prospects!H2:H54,"No")</x:f>
        <x:v>53</x:v>
      </x:c>
    </x:row>
    <x:row r="12">
      <x:c r="A12" s="59" t="str">
        <x:v>Research note: 'No website visible' means no website button was visible in the reviewed Google Maps listing or user-provided screenshot on 24 Aug 2026. Re-verify before outreach because listings can change.</x:v>
      </x:c>
      <x:c r="B12" s="60" t="str">
        <x:v>Research note: 'No website visible' means no website button was visible in the reviewed Google Maps listing or user-provided screenshot on 24 Aug 2026. Re-verify before outreach because listings can change.</x:v>
      </x:c>
      <x:c r="C12" s="60" t="str">
        <x:v>Research note: 'No website visible' means no website button was visible in the reviewed Google Maps listing or user-provided screenshot on 24 Aug 2026. Re-verify before outreach because listings can change.</x:v>
      </x:c>
      <x:c r="D12" s="60" t="str">
        <x:v>Research note: 'No website visible' means no website button was visible in the reviewed Google Maps listing or user-provided screenshot on 24 Aug 2026. Re-verify before outreach because listings can change.</x:v>
      </x:c>
      <x:c r="E12" s="60" t="str">
        <x:v>Research note: 'No website visible' means no website button was visible in the reviewed Google Maps listing or user-provided screenshot on 24 Aug 2026. Re-verify before outreach because listings can change.</x:v>
      </x:c>
      <x:c r="F12" s="60" t="str">
        <x:v>Research note: 'No website visible' means no website button was visible in the reviewed Google Maps listing or user-provided screenshot on 24 Aug 2026. Re-verify before outreach because listings can change.</x:v>
      </x:c>
      <x:c r="G12" s="60" t="str">
        <x:v>Research note: 'No website visible' means no website button was visible in the reviewed Google Maps listing or user-provided screenshot on 24 Aug 2026. Re-verify before outreach because listings can change.</x:v>
      </x:c>
      <x:c r="H12" s="61" t="str">
        <x:v>Research note: 'No website visible' means no website button was visible in the reviewed Google Maps listing or user-provided screenshot on 24 Aug 2026. Re-verify before outreach because listings can change.</x:v>
      </x:c>
    </x:row>
  </x:sheetData>
  <x:mergeCells>
    <x:mergeCell ref="A1:H2"/>
    <x:mergeCell ref="D4:H4"/>
    <x:mergeCell ref="D5:H9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2" hidden="0" customWidth="1"/>
    <x:col min="3" max="3" width="29" hidden="0" customWidth="1"/>
    <x:col min="4" max="4" width="18" hidden="0" customWidth="1"/>
    <x:col min="5" max="5" width="10" hidden="0" customWidth="1"/>
    <x:col min="6" max="6" width="10" hidden="0" customWidth="1"/>
    <x:col min="7" max="7" width="15" hidden="0" customWidth="1"/>
    <x:col min="8" max="8" width="15" hidden="0" customWidth="1"/>
    <x:col min="9" max="9" width="15" hidden="0" customWidth="1"/>
    <x:col min="10" max="10" width="42" hidden="0" customWidth="1"/>
    <x:col min="11" max="11" width="12" hidden="0" customWidth="1"/>
    <x:col min="12" max="12" width="22" hidden="0" customWidth="1"/>
    <x:col min="13" max="13" width="20" hidden="0" customWidth="1"/>
    <x:col min="14" max="14" width="42" hidden="0" customWidth="1"/>
    <x:col min="15" max="15" width="12" hidden="0" customWidth="1"/>
  </x:cols>
  <x:sheetData>
    <x:row r="1">
      <x:c r="A1" s="4" t="str">
        <x:v>#</x:v>
      </x:c>
      <x:c r="B1" s="4" t="str">
        <x:v>Business</x:v>
      </x:c>
      <x:c r="C1" s="4" t="str">
        <x:v>Area</x:v>
      </x:c>
      <x:c r="D1" s="4" t="str">
        <x:v>Phone</x:v>
      </x:c>
      <x:c r="E1" s="4" t="str">
        <x:v>Rating</x:v>
      </x:c>
      <x:c r="F1" s="4" t="str">
        <x:v>Reviews</x:v>
      </x:c>
      <x:c r="G1" s="4" t="str">
        <x:v>Years</x:v>
      </x:c>
      <x:c r="H1" s="4" t="str">
        <x:v>Website visible</x:v>
      </x:c>
      <x:c r="I1" s="4" t="str">
        <x:v>Hours</x:v>
      </x:c>
      <x:c r="J1" s="4" t="str">
        <x:v>Services / evidence</x:v>
      </x:c>
      <x:c r="K1" s="4" t="str">
        <x:v>Priority</x:v>
      </x:c>
      <x:c r="L1" s="4" t="str">
        <x:v>Outreach status</x:v>
      </x:c>
      <x:c r="M1" s="4" t="str">
        <x:v>Source</x:v>
      </x:c>
      <x:c r="N1" s="4" t="str">
        <x:v>Source URL</x:v>
      </x:c>
      <x:c r="O1" s="4" t="str">
        <x:v>Lead score</x:v>
      </x:c>
    </x:row>
    <x:row r="2">
      <x:c r="A2" s="7" t="n">
        <x:v>1</x:v>
      </x:c>
      <x:c r="B2" s="7" t="str">
        <x:v>Plumbers River Club Sandton</x:v>
      </x:c>
      <x:c r="C2" s="7" t="str">
        <x:v>Sandton and nearby areas</x:v>
      </x:c>
      <x:c r="D2" s="7" t="str">
        <x:v>068 380 0800</x:v>
      </x:c>
      <x:c r="E2" s="8" t="n">
        <x:v>4.4</x:v>
      </x:c>
      <x:c r="F2" s="9" t="n">
        <x:v>7</x:v>
      </x:c>
      <x:c r="G2" s="7" t="str">
        <x:v>7+</x:v>
      </x:c>
      <x:c r="H2" s="7" t="str">
        <x:v>No</x:v>
      </x:c>
      <x:c r="I2" s="7" t="str">
        <x:v>Open 24 hours</x:v>
      </x:c>
      <x:c r="J2" s="7" t="str">
        <x:v>Online estimates; plumbing leak detection; pipe repair; shower, tap and toilet services</x:v>
      </x:c>
      <x:c r="K2" s="7" t="str">
        <x:v>High</x:v>
      </x:c>
      <x:c r="L2" s="7" t="str">
        <x:v>New - not contacted</x:v>
      </x:c>
      <x:c r="M2" s="7" t="str">
        <x:v>User screenshot</x:v>
      </x:c>
      <x:c r="N2" s="7" t="str">
        <x:v>https://www.google.com/maps</x:v>
      </x:c>
      <x:c r="O2" s="9" t="n">
        <x:f>IF(H2="No",2,0)+IF(D2&lt;&gt;"Not visible",2,0)+IF(E2&gt;=4.5,3,IF(E2&gt;=4,2,IF(E2&gt;=3,1,0)))+IF(F2&gt;=10,3,IF(F2&gt;=3,2,IF(F2&gt;=1,1,0)))</x:f>
        <x:v>8</x:v>
      </x:c>
    </x:row>
    <x:row r="3">
      <x:c r="A3" s="7" t="n">
        <x:v>2</x:v>
      </x:c>
      <x:c r="B3" s="7" t="str">
        <x:v>Sandton Plumbing</x:v>
      </x:c>
      <x:c r="C3" s="7" t="str">
        <x:v>Queens Rd, Bryanston, Sandton, 2191</x:v>
      </x:c>
      <x:c r="D3" s="7" t="str">
        <x:v>087 057 5518</x:v>
      </x:c>
      <x:c r="E3" s="8" t="n">
        <x:v>1</x:v>
      </x:c>
      <x:c r="F3" s="9" t="n">
        <x:v>1</x:v>
      </x:c>
      <x:c r="G3" s="7" t="str">
        <x:v>20+</x:v>
      </x:c>
      <x:c r="H3" s="7" t="str">
        <x:v>No</x:v>
      </x:c>
      <x:c r="I3" s="7" t="str">
        <x:v>Open 24 hours</x:v>
      </x:c>
      <x:c r="J3" s="7" t="str">
        <x:v>Drain cleaning; tap and waste-disposal work; low rating</x:v>
      </x:c>
      <x:c r="K3" s="7" t="str">
        <x:v>Low</x:v>
      </x:c>
      <x:c r="L3" s="7" t="str">
        <x:v>New - low priority</x:v>
      </x:c>
      <x:c r="M3" s="7" t="str">
        <x:v>User screenshot</x:v>
      </x:c>
      <x:c r="N3" s="7" t="str">
        <x:v>https://www.google.com/maps</x:v>
      </x:c>
      <x:c r="O3" s="9" t="n">
        <x:f>IF(H3="No",2,0)+IF(D3&lt;&gt;"Not visible",2,0)+IF(E3&gt;=4.5,3,IF(E3&gt;=4,2,IF(E3&gt;=3,1,0)))+IF(F3&gt;=10,3,IF(F3&gt;=3,2,IF(F3&gt;=1,1,0)))</x:f>
        <x:v>5</x:v>
      </x:c>
    </x:row>
    <x:row r="4">
      <x:c r="A4" s="7" t="n">
        <x:v>3</x:v>
      </x:c>
      <x:c r="B4" s="7" t="str">
        <x:v>MacRamos Plumbing</x:v>
      </x:c>
      <x:c r="C4" s="7" t="str">
        <x:v>58 Stiglingh Rd, Edenburg, Sandton, 2128</x:v>
      </x:c>
      <x:c r="D4" s="7" t="str">
        <x:v>082 550 3306</x:v>
      </x:c>
      <x:c r="E4" s="8" t="n">
        <x:v>5</x:v>
      </x:c>
      <x:c r="F4" s="9" t="n">
        <x:v>7</x:v>
      </x:c>
      <x:c r="G4" s="7" t="str">
        <x:v>5+</x:v>
      </x:c>
      <x:c r="H4" s="7" t="str">
        <x:v>No</x:v>
      </x:c>
      <x:c r="I4" s="7" t="str">
        <x:v>Not visible</x:v>
      </x:c>
      <x:c r="J4" s="7" t="str">
        <x:v>Branded vehicle, strong photos and seven five-star reviews</x:v>
      </x:c>
      <x:c r="K4" s="7" t="str">
        <x:v>High</x:v>
      </x:c>
      <x:c r="L4" s="7" t="str">
        <x:v>New - high priority</x:v>
      </x:c>
      <x:c r="M4" s="7" t="str">
        <x:v>User screenshot</x:v>
      </x:c>
      <x:c r="N4" s="7" t="str">
        <x:v>https://www.google.com/maps</x:v>
      </x:c>
      <x:c r="O4" s="9" t="n">
        <x:f>IF(H4="No",2,0)+IF(D4&lt;&gt;"Not visible",2,0)+IF(E4&gt;=4.5,3,IF(E4&gt;=4,2,IF(E4&gt;=3,1,0)))+IF(F4&gt;=10,3,IF(F4&gt;=3,2,IF(F4&gt;=1,1,0)))</x:f>
        <x:v>9</x:v>
      </x:c>
    </x:row>
    <x:row r="5">
      <x:c r="A5" s="7" t="n">
        <x:v>4</x:v>
      </x:c>
      <x:c r="B5" s="7" t="str">
        <x:v>ProPoint Plumbing Services</x:v>
      </x:c>
      <x:c r="C5" s="7" t="str">
        <x:v>Johannesburg / Sunninghill</x:v>
      </x:c>
      <x:c r="D5" s="7" t="str">
        <x:v>064 654 9279</x:v>
      </x:c>
      <x:c r="E5" s="8" t="n">
        <x:v>5</x:v>
      </x:c>
      <x:c r="F5" s="9" t="n">
        <x:v>31</x:v>
      </x:c>
      <x:c r="G5" s="7" t="str">
        <x:v>5+</x:v>
      </x:c>
      <x:c r="H5" s="7" t="str">
        <x:v>No</x:v>
      </x:c>
      <x:c r="I5" s="7" t="str">
        <x:v>Opens 7am</x:v>
      </x:c>
      <x:c r="J5" s="7" t="str">
        <x:v>Strong review volume and job photos</x:v>
      </x:c>
      <x:c r="K5" s="7" t="str">
        <x:v>Highest</x:v>
      </x:c>
      <x:c r="L5" s="7" t="str">
        <x:v>New - highest priority</x:v>
      </x:c>
      <x:c r="M5" s="7" t="str">
        <x:v>User screenshot</x:v>
      </x:c>
      <x:c r="N5" s="7" t="str">
        <x:v>https://www.google.com/maps</x:v>
      </x:c>
      <x:c r="O5" s="9" t="n">
        <x:f>IF(H5="No",2,0)+IF(D5&lt;&gt;"Not visible",2,0)+IF(E5&gt;=4.5,3,IF(E5&gt;=4,2,IF(E5&gt;=3,1,0)))+IF(F5&gt;=10,3,IF(F5&gt;=3,2,IF(F5&gt;=1,1,0)))</x:f>
        <x:v>10</x:v>
      </x:c>
    </x:row>
    <x:row r="6">
      <x:c r="A6" s="7" t="n">
        <x:v>5</x:v>
      </x:c>
      <x:c r="B6" s="7" t="str">
        <x:v>Alvora Plumbers Johannesburg</x:v>
      </x:c>
      <x:c r="C6" s="7" t="str">
        <x:v>Johannesburg</x:v>
      </x:c>
      <x:c r="D6" s="7" t="str">
        <x:v>079 340 4116</x:v>
      </x:c>
      <x:c r="E6" s="8" t="n">
        <x:v>4.7</x:v>
      </x:c>
      <x:c r="F6" s="9" t="n">
        <x:v>3</x:v>
      </x:c>
      <x:c r="G6" s="7" t="str">
        <x:v>Not visible</x:v>
      </x:c>
      <x:c r="H6" s="7" t="str">
        <x:v>No</x:v>
      </x:c>
      <x:c r="I6" s="7" t="str">
        <x:v>Open 24 hours</x:v>
      </x:c>
      <x:c r="J6" s="7" t="str">
        <x:v>General plumbing; few reviews</x:v>
      </x:c>
      <x:c r="K6" s="7" t="str">
        <x:v>Medium</x:v>
      </x:c>
      <x:c r="L6" s="7" t="str">
        <x:v>New - medium priority</x:v>
      </x:c>
      <x:c r="M6" s="7" t="str">
        <x:v>User screenshot</x:v>
      </x:c>
      <x:c r="N6" s="7" t="str">
        <x:v>https://www.google.com/maps</x:v>
      </x:c>
      <x:c r="O6" s="9" t="n">
        <x:f>IF(H6="No",2,0)+IF(D6&lt;&gt;"Not visible",2,0)+IF(E6&gt;=4.5,3,IF(E6&gt;=4,2,IF(E6&gt;=3,1,0)))+IF(F6&gt;=10,3,IF(F6&gt;=3,2,IF(F6&gt;=1,1,0)))</x:f>
        <x:v>9</x:v>
      </x:c>
    </x:row>
    <x:row r="7">
      <x:c r="A7" s="7" t="n">
        <x:v>6</x:v>
      </x:c>
      <x:c r="B7" s="7" t="str">
        <x:v>Marcello Pronto Plumbing &amp; Handyman Services</x:v>
      </x:c>
      <x:c r="C7" s="7" t="str">
        <x:v>Sandton and nearby areas</x:v>
      </x:c>
      <x:c r="D7" s="7" t="str">
        <x:v>+351 912 942 688</x:v>
      </x:c>
      <x:c r="E7" s="8" t="n">
        <x:v>5</x:v>
      </x:c>
      <x:c r="F7" s="9" t="n">
        <x:v>18</x:v>
      </x:c>
      <x:c r="G7" s="7" t="str">
        <x:v>20+</x:v>
      </x:c>
      <x:c r="H7" s="7" t="str">
        <x:v>No</x:v>
      </x:c>
      <x:c r="I7" s="7" t="str">
        <x:v>Opens 8am</x:v>
      </x:c>
      <x:c r="J7" s="7" t="str">
        <x:v>Strong work photos; international number must be verified</x:v>
      </x:c>
      <x:c r="K7" s="7" t="str">
        <x:v>Medium</x:v>
      </x:c>
      <x:c r="L7" s="7" t="str">
        <x:v>Verify phone before contact</x:v>
      </x:c>
      <x:c r="M7" s="7" t="str">
        <x:v>User screenshot</x:v>
      </x:c>
      <x:c r="N7" s="7" t="str">
        <x:v>https://www.google.com/maps</x:v>
      </x:c>
      <x:c r="O7" s="9" t="n">
        <x:f>IF(H7="No",2,0)+IF(D7&lt;&gt;"Not visible",2,0)+IF(E7&gt;=4.5,3,IF(E7&gt;=4,2,IF(E7&gt;=3,1,0)))+IF(F7&gt;=10,3,IF(F7&gt;=3,2,IF(F7&gt;=1,1,0)))</x:f>
        <x:v>10</x:v>
      </x:c>
    </x:row>
    <x:row r="8">
      <x:c r="A8" s="7" t="n">
        <x:v>7</x:v>
      </x:c>
      <x:c r="B8" s="7" t="str">
        <x:v>MRI Plumbers</x:v>
      </x:c>
      <x:c r="C8" s="7" t="str">
        <x:v>Johannesburg</x:v>
      </x:c>
      <x:c r="D8" s="7" t="str">
        <x:v>082 838 9869</x:v>
      </x:c>
      <x:c r="E8" s="8" t="n">
        <x:v>5</x:v>
      </x:c>
      <x:c r="F8" s="9" t="n">
        <x:v>4</x:v>
      </x:c>
      <x:c r="G8" s="7" t="str">
        <x:v>Not visible</x:v>
      </x:c>
      <x:c r="H8" s="7" t="str">
        <x:v>No</x:v>
      </x:c>
      <x:c r="I8" s="7" t="str">
        <x:v>Opens 7:30am</x:v>
      </x:c>
      <x:c r="J8" s="7" t="str">
        <x:v>Reviews praise punctuality and workmanship; verify activity</x:v>
      </x:c>
      <x:c r="K8" s="7" t="str">
        <x:v>Medium</x:v>
      </x:c>
      <x:c r="L8" s="7" t="str">
        <x:v>Verify activity</x:v>
      </x:c>
      <x:c r="M8" s="7" t="str">
        <x:v>User screenshot</x:v>
      </x:c>
      <x:c r="N8" s="7" t="str">
        <x:v>https://www.google.com/maps</x:v>
      </x:c>
      <x:c r="O8" s="9" t="n">
        <x:f>IF(H8="No",2,0)+IF(D8&lt;&gt;"Not visible",2,0)+IF(E8&gt;=4.5,3,IF(E8&gt;=4,2,IF(E8&gt;=3,1,0)))+IF(F8&gt;=10,3,IF(F8&gt;=3,2,IF(F8&gt;=1,1,0)))</x:f>
        <x:v>9</x:v>
      </x:c>
    </x:row>
    <x:row r="9">
      <x:c r="A9" s="7" t="n">
        <x:v>8</x:v>
      </x:c>
      <x:c r="B9" s="7" t="str">
        <x:v>Bramley Plumbers</x:v>
      </x:c>
      <x:c r="C9" s="7" t="str">
        <x:v>Bramley / Sandton</x:v>
      </x:c>
      <x:c r="D9" s="7" t="str">
        <x:v>Not visible</x:v>
      </x:c>
      <x:c r="E9" s="8" t="n">
        <x:v>5</x:v>
      </x:c>
      <x:c r="F9" s="9" t="n">
        <x:v>1</x:v>
      </x:c>
      <x:c r="G9" s="7" t="str">
        <x:v>3+</x:v>
      </x:c>
      <x:c r="H9" s="7" t="str">
        <x:v>No</x:v>
      </x:c>
      <x:c r="I9" s="7" t="str">
        <x:v>Not visible</x:v>
      </x:c>
      <x:c r="J9" s="7" t="str">
        <x:v>Recent five-star review; phone still needed</x:v>
      </x:c>
      <x:c r="K9" s="7" t="str">
        <x:v>Low</x:v>
      </x:c>
      <x:c r="L9" s="7" t="str">
        <x:v>Research phone</x:v>
      </x:c>
      <x:c r="M9" s="7" t="str">
        <x:v>User screenshot</x:v>
      </x:c>
      <x:c r="N9" s="7" t="str">
        <x:v>https://www.google.com/maps</x:v>
      </x:c>
      <x:c r="O9" s="9" t="n">
        <x:f>IF(H9="No",2,0)+IF(D9&lt;&gt;"Not visible",2,0)+IF(E9&gt;=4.5,3,IF(E9&gt;=4,2,IF(E9&gt;=3,1,0)))+IF(F9&gt;=10,3,IF(F9&gt;=3,2,IF(F9&gt;=1,1,0)))</x:f>
        <x:v>6</x:v>
      </x:c>
    </x:row>
    <x:row r="10">
      <x:c r="A10" s="7" t="n">
        <x:v>9</x:v>
      </x:c>
      <x:c r="B10" s="7" t="str">
        <x:v>Kingsmen Plumbers</x:v>
      </x:c>
      <x:c r="C10" s="7" t="str">
        <x:v>Johannesburg / Sandton</x:v>
      </x:c>
      <x:c r="D10" s="7" t="str">
        <x:v>078 867 4109</x:v>
      </x:c>
      <x:c r="E10" s="8" t="n">
        <x:v>5</x:v>
      </x:c>
      <x:c r="F10" s="9" t="n">
        <x:v>1</x:v>
      </x:c>
      <x:c r="G10" s="7" t="str">
        <x:v>7+</x:v>
      </x:c>
      <x:c r="H10" s="7" t="str">
        <x:v>No</x:v>
      </x:c>
      <x:c r="I10" s="7" t="str">
        <x:v>Open 24 hours</x:v>
      </x:c>
      <x:c r="J10" s="7" t="str">
        <x:v>Single review praises speed and pricing</x:v>
      </x:c>
      <x:c r="K10" s="7" t="str">
        <x:v>Medium</x:v>
      </x:c>
      <x:c r="L10" s="7" t="str">
        <x:v>Verify activity</x:v>
      </x:c>
      <x:c r="M10" s="7" t="str">
        <x:v>User screenshot</x:v>
      </x:c>
      <x:c r="N10" s="7" t="str">
        <x:v>https://www.google.com/maps</x:v>
      </x:c>
      <x:c r="O10" s="9" t="n">
        <x:f>IF(H10="No",2,0)+IF(D10&lt;&gt;"Not visible",2,0)+IF(E10&gt;=4.5,3,IF(E10&gt;=4,2,IF(E10&gt;=3,1,0)))+IF(F10&gt;=10,3,IF(F10&gt;=3,2,IF(F10&gt;=1,1,0)))</x:f>
        <x:v>8</x:v>
      </x:c>
    </x:row>
    <x:row r="11">
      <x:c r="A11" s="7" t="n">
        <x:v>10</x:v>
      </x:c>
      <x:c r="B11" s="7" t="str">
        <x:v>Plumber &amp; Electrician 24hour Services</x:v>
      </x:c>
      <x:c r="C11" s="7" t="str">
        <x:v>Kelvin, Sandton, 2090</x:v>
      </x:c>
      <x:c r="D11" s="7" t="str">
        <x:v>Not visible</x:v>
      </x:c>
      <x:c r="E11" s="8" t="n">
        <x:v>0</x:v>
      </x:c>
      <x:c r="F11" s="9" t="n">
        <x:v>0</x:v>
      </x:c>
      <x:c r="G11" s="7" t="str">
        <x:v>3+</x:v>
      </x:c>
      <x:c r="H11" s="7" t="str">
        <x:v>No</x:v>
      </x:c>
      <x:c r="I11" s="7" t="str">
        <x:v>Open 24 hours</x:v>
      </x:c>
      <x:c r="J11" s="7" t="str">
        <x:v>Photos and online estimates but no visible phone</x:v>
      </x:c>
      <x:c r="K11" s="7" t="str">
        <x:v>Low</x:v>
      </x:c>
      <x:c r="L11" s="7" t="str">
        <x:v>Research phone</x:v>
      </x:c>
      <x:c r="M11" s="7" t="str">
        <x:v>User screenshot</x:v>
      </x:c>
      <x:c r="N11" s="7" t="str">
        <x:v>https://www.google.com/maps</x:v>
      </x:c>
      <x:c r="O11" s="9" t="n">
        <x:f>IF(H11="No",2,0)+IF(D11&lt;&gt;"Not visible",2,0)+IF(E11&gt;=4.5,3,IF(E11&gt;=4,2,IF(E11&gt;=3,1,0)))+IF(F11&gt;=10,3,IF(F11&gt;=3,2,IF(F11&gt;=1,1,0)))</x:f>
        <x:v>2</x:v>
      </x:c>
    </x:row>
    <x:row r="12">
      <x:c r="A12" s="7" t="n">
        <x:v>11</x:v>
      </x:c>
      <x:c r="B12" s="7" t="str">
        <x:v>Frankenwald Air Conditioning &amp; Plumbers-Sandton</x:v>
      </x:c>
      <x:c r="C12" s="7" t="str">
        <x:v>Linbro Business Park, Sandton</x:v>
      </x:c>
      <x:c r="D12" s="7" t="str">
        <x:v>084 058 4054</x:v>
      </x:c>
      <x:c r="E12" s="8" t="n">
        <x:v>5</x:v>
      </x:c>
      <x:c r="F12" s="9" t="n">
        <x:v>6</x:v>
      </x:c>
      <x:c r="G12" s="7" t="str">
        <x:v>3+</x:v>
      </x:c>
      <x:c r="H12" s="7" t="str">
        <x:v>No</x:v>
      </x:c>
      <x:c r="I12" s="7" t="str">
        <x:v>Open 24 hours</x:v>
      </x:c>
      <x:c r="J12" s="7" t="str">
        <x:v>Combined air-conditioning and plumbing offer; customise pitch</x:v>
      </x:c>
      <x:c r="K12" s="7" t="str">
        <x:v>High</x:v>
      </x:c>
      <x:c r="L12" s="7" t="str">
        <x:v>New - customise offer</x:v>
      </x:c>
      <x:c r="M12" s="7" t="str">
        <x:v>User screenshot</x:v>
      </x:c>
      <x:c r="N12" s="7" t="str">
        <x:v>https://www.google.com/maps</x:v>
      </x:c>
      <x:c r="O12" s="9" t="n">
        <x:f>IF(H12="No",2,0)+IF(D12&lt;&gt;"Not visible",2,0)+IF(E12&gt;=4.5,3,IF(E12&gt;=4,2,IF(E12&gt;=3,1,0)))+IF(F12&gt;=10,3,IF(F12&gt;=3,2,IF(F12&gt;=1,1,0)))</x:f>
        <x:v>9</x:v>
      </x:c>
    </x:row>
    <x:row r="13">
      <x:c r="A13" s="7" t="n">
        <x:v>12</x:v>
      </x:c>
      <x:c r="B13" s="7" t="str">
        <x:v>Rodwells Plumbing &amp; Projects (Pty) Ltd</x:v>
      </x:c>
      <x:c r="C13" s="7" t="str">
        <x:v>Johannesburg / Sandton</x:v>
      </x:c>
      <x:c r="D13" s="7" t="str">
        <x:v>073 004 5059</x:v>
      </x:c>
      <x:c r="E13" s="8" t="n">
        <x:v>5</x:v>
      </x:c>
      <x:c r="F13" s="9" t="n">
        <x:v>2</x:v>
      </x:c>
      <x:c r="G13" s="7" t="str">
        <x:v>10+</x:v>
      </x:c>
      <x:c r="H13" s="7" t="str">
        <x:v>No</x:v>
      </x:c>
      <x:c r="I13" s="7" t="str">
        <x:v>Open 24 hours</x:v>
      </x:c>
      <x:c r="J13" s="7" t="str">
        <x:v>Established projects business; older reviews</x:v>
      </x:c>
      <x:c r="K13" s="7" t="str">
        <x:v>Medium</x:v>
      </x:c>
      <x:c r="L13" s="7" t="str">
        <x:v>Verify activity</x:v>
      </x:c>
      <x:c r="M13" s="7" t="str">
        <x:v>User screenshot</x:v>
      </x:c>
      <x:c r="N13" s="7" t="str">
        <x:v>https://www.google.com/maps</x:v>
      </x:c>
      <x:c r="O13" s="9" t="n">
        <x:f>IF(H13="No",2,0)+IF(D13&lt;&gt;"Not visible",2,0)+IF(E13&gt;=4.5,3,IF(E13&gt;=4,2,IF(E13&gt;=3,1,0)))+IF(F13&gt;=10,3,IF(F13&gt;=3,2,IF(F13&gt;=1,1,0)))</x:f>
        <x:v>8</x:v>
      </x:c>
    </x:row>
    <x:row r="14">
      <x:c r="A14" s="7" t="n">
        <x:v>13</x:v>
      </x:c>
      <x:c r="B14" s="7" t="str">
        <x:v>Nick Roberts Plumbing (Pty) Ltd</x:v>
      </x:c>
      <x:c r="C14" s="7" t="str">
        <x:v>Johannesburg / Sandton</x:v>
      </x:c>
      <x:c r="D14" s="7" t="str">
        <x:v>011 318 1485</x:v>
      </x:c>
      <x:c r="E14" s="8" t="n">
        <x:v>5</x:v>
      </x:c>
      <x:c r="F14" s="9" t="n">
        <x:v>3</x:v>
      </x:c>
      <x:c r="G14" s="7" t="str">
        <x:v>7+</x:v>
      </x:c>
      <x:c r="H14" s="7" t="str">
        <x:v>No</x:v>
      </x:c>
      <x:c r="I14" s="7" t="str">
        <x:v>Opens 8am</x:v>
      </x:c>
      <x:c r="J14" s="7" t="str">
        <x:v>Reviews praise expertise and quick service</x:v>
      </x:c>
      <x:c r="K14" s="7" t="str">
        <x:v>Medium</x:v>
      </x:c>
      <x:c r="L14" s="7" t="str">
        <x:v>Verify activity</x:v>
      </x:c>
      <x:c r="M14" s="7" t="str">
        <x:v>User screenshot</x:v>
      </x:c>
      <x:c r="N14" s="7" t="str">
        <x:v>https://www.google.com/maps</x:v>
      </x:c>
      <x:c r="O14" s="9" t="n">
        <x:f>IF(H14="No",2,0)+IF(D14&lt;&gt;"Not visible",2,0)+IF(E14&gt;=4.5,3,IF(E14&gt;=4,2,IF(E14&gt;=3,1,0)))+IF(F14&gt;=10,3,IF(F14&gt;=3,2,IF(F14&gt;=1,1,0)))</x:f>
        <x:v>9</x:v>
      </x:c>
    </x:row>
    <x:row r="15">
      <x:c r="A15" s="7" t="n">
        <x:v>14</x:v>
      </x:c>
      <x:c r="B15" s="7" t="str">
        <x:v>CR Plumbers &amp; Electricians-Garsfontein</x:v>
      </x:c>
      <x:c r="C15" s="7" t="str">
        <x:v>670B Windsor Rd, Garsfontein</x:v>
      </x:c>
      <x:c r="D15" s="7" t="str">
        <x:v>084 684 5336</x:v>
      </x:c>
      <x:c r="E15" s="8" t="n">
        <x:v>4.6</x:v>
      </x:c>
      <x:c r="F15" s="9" t="n">
        <x:v>44</x:v>
      </x:c>
      <x:c r="G15" s="7" t="str">
        <x:v>Not visible</x:v>
      </x:c>
      <x:c r="H15" s="7" t="str">
        <x:v>No</x:v>
      </x:c>
      <x:c r="I15" s="7" t="str">
        <x:v>Open 24 hours</x:v>
      </x:c>
      <x:c r="J15" s="7" t="str">
        <x:v>Large review base and no website button</x:v>
      </x:c>
      <x:c r="K15" s="7" t="str">
        <x:v>Highest</x:v>
      </x:c>
      <x:c r="L15" s="7" t="str">
        <x:v>New - highest priority</x:v>
      </x:c>
      <x:c r="M15" s="7" t="str">
        <x:v>Google Maps research</x:v>
      </x:c>
      <x:c r="N15" s="7" t="str">
        <x:v>https://www.google.com/maps/place/CR+Plumbers+%26+Electricians-Garsfontein</x:v>
      </x:c>
      <x:c r="O15" s="9" t="n">
        <x:f>IF(H15="No",2,0)+IF(D15&lt;&gt;"Not visible",2,0)+IF(E15&gt;=4.5,3,IF(E15&gt;=4,2,IF(E15&gt;=3,1,0)))+IF(F15&gt;=10,3,IF(F15&gt;=3,2,IF(F15&gt;=1,1,0)))</x:f>
        <x:v>10</x:v>
      </x:c>
    </x:row>
    <x:row r="16">
      <x:c r="A16" s="7" t="n">
        <x:v>15</x:v>
      </x:c>
      <x:c r="B16" s="7" t="str">
        <x:v>Eco Plumbers Pretoria</x:v>
      </x:c>
      <x:c r="C16" s="7" t="str">
        <x:v>318 Border W Rd, Pretoria</x:v>
      </x:c>
      <x:c r="D16" s="7" t="str">
        <x:v>078 418 9565</x:v>
      </x:c>
      <x:c r="E16" s="8" t="n">
        <x:v>5</x:v>
      </x:c>
      <x:c r="F16" s="9" t="n">
        <x:v>3</x:v>
      </x:c>
      <x:c r="G16" s="7" t="str">
        <x:v>Not visible</x:v>
      </x:c>
      <x:c r="H16" s="7" t="str">
        <x:v>No</x:v>
      </x:c>
      <x:c r="I16" s="7" t="str">
        <x:v>Opens 7:30am</x:v>
      </x:c>
      <x:c r="J16" s="7" t="str">
        <x:v>Positive recommendation; reachable number</x:v>
      </x:c>
      <x:c r="K16" s="7" t="str">
        <x:v>Medium</x:v>
      </x:c>
      <x:c r="L16" s="7" t="str">
        <x:v>New - medium priority</x:v>
      </x:c>
      <x:c r="M16" s="7" t="str">
        <x:v>Google Maps research</x:v>
      </x:c>
      <x:c r="N16" s="7" t="str">
        <x:v>https://www.google.com/maps/place/Eco+Plumbers+Pretoria</x:v>
      </x:c>
      <x:c r="O16" s="9" t="n">
        <x:f>IF(H16="No",2,0)+IF(D16&lt;&gt;"Not visible",2,0)+IF(E16&gt;=4.5,3,IF(E16&gt;=4,2,IF(E16&gt;=3,1,0)))+IF(F16&gt;=10,3,IF(F16&gt;=3,2,IF(F16&gt;=1,1,0)))</x:f>
        <x:v>9</x:v>
      </x:c>
    </x:row>
    <x:row r="17">
      <x:c r="A17" s="7" t="n">
        <x:v>16</x:v>
      </x:c>
      <x:c r="B17" s="7" t="str">
        <x:v>Pretoria East Emergency Plumbers</x:v>
      </x:c>
      <x:c r="C17" s="7" t="str">
        <x:v>Pretoria East</x:v>
      </x:c>
      <x:c r="D17" s="7" t="str">
        <x:v>067 457 4027</x:v>
      </x:c>
      <x:c r="E17" s="8" t="n">
        <x:v>5</x:v>
      </x:c>
      <x:c r="F17" s="9" t="n">
        <x:v>5</x:v>
      </x:c>
      <x:c r="G17" s="7" t="str">
        <x:v>Not visible</x:v>
      </x:c>
      <x:c r="H17" s="7" t="str">
        <x:v>No</x:v>
      </x:c>
      <x:c r="I17" s="7" t="str">
        <x:v>Open 24 hours</x:v>
      </x:c>
      <x:c r="J17" s="7" t="str">
        <x:v>Emergency positioning; reviews praise speed</x:v>
      </x:c>
      <x:c r="K17" s="7" t="str">
        <x:v>High</x:v>
      </x:c>
      <x:c r="L17" s="7" t="str">
        <x:v>New - high priority</x:v>
      </x:c>
      <x:c r="M17" s="7" t="str">
        <x:v>Google Maps research</x:v>
      </x:c>
      <x:c r="N17" s="7" t="str">
        <x:v>https://www.google.com/maps/place/Pretoria+East+Emergency+Plumbers</x:v>
      </x:c>
      <x:c r="O17" s="9" t="n">
        <x:f>IF(H17="No",2,0)+IF(D17&lt;&gt;"Not visible",2,0)+IF(E17&gt;=4.5,3,IF(E17&gt;=4,2,IF(E17&gt;=3,1,0)))+IF(F17&gt;=10,3,IF(F17&gt;=3,2,IF(F17&gt;=1,1,0)))</x:f>
        <x:v>9</x:v>
      </x:c>
    </x:row>
    <x:row r="18">
      <x:c r="A18" s="7" t="n">
        <x:v>17</x:v>
      </x:c>
      <x:c r="B18" s="7" t="str">
        <x:v>Plumisure (Pty) Ltd</x:v>
      </x:c>
      <x:c r="C18" s="7" t="str">
        <x:v>Melville, Johannesburg</x:v>
      </x:c>
      <x:c r="D18" s="7" t="str">
        <x:v>072 937 9250</x:v>
      </x:c>
      <x:c r="E18" s="8" t="n">
        <x:v>4.8</x:v>
      </x:c>
      <x:c r="F18" s="9" t="n">
        <x:v>26</x:v>
      </x:c>
      <x:c r="G18" s="7" t="str">
        <x:v>Not visible</x:v>
      </x:c>
      <x:c r="H18" s="7" t="str">
        <x:v>No</x:v>
      </x:c>
      <x:c r="I18" s="7" t="str">
        <x:v>Opens 7:30am</x:v>
      </x:c>
      <x:c r="J18" s="7" t="str">
        <x:v>Strong review volume and emergency-plumbing positioning</x:v>
      </x:c>
      <x:c r="K18" s="7" t="str">
        <x:v>Highest</x:v>
      </x:c>
      <x:c r="L18" s="7" t="str">
        <x:v>New - highest priority</x:v>
      </x:c>
      <x:c r="M18" s="7" t="str">
        <x:v>Google Maps research</x:v>
      </x:c>
      <x:c r="N18" s="7" t="str">
        <x:v>https://www.google.com/maps/place/Plumisure.Pty+Ltd</x:v>
      </x:c>
      <x:c r="O18" s="9" t="n">
        <x:f>IF(H18="No",2,0)+IF(D18&lt;&gt;"Not visible",2,0)+IF(E18&gt;=4.5,3,IF(E18&gt;=4,2,IF(E18&gt;=3,1,0)))+IF(F18&gt;=10,3,IF(F18&gt;=3,2,IF(F18&gt;=1,1,0)))</x:f>
        <x:v>10</x:v>
      </x:c>
    </x:row>
    <x:row r="19">
      <x:c r="A19" s="7" t="n">
        <x:v>18</x:v>
      </x:c>
      <x:c r="B19" s="7" t="str">
        <x:v>Msimanga Plumbing and Sanitary Services</x:v>
      </x:c>
      <x:c r="C19" s="7" t="str">
        <x:v>17 Republic Cir, Johannesburg</x:v>
      </x:c>
      <x:c r="D19" s="7" t="str">
        <x:v>011 264 1529</x:v>
      </x:c>
      <x:c r="E19" s="8" t="n">
        <x:v>5</x:v>
      </x:c>
      <x:c r="F19" s="9" t="n">
        <x:v>5</x:v>
      </x:c>
      <x:c r="G19" s="7" t="str">
        <x:v>Not visible</x:v>
      </x:c>
      <x:c r="H19" s="7" t="str">
        <x:v>No</x:v>
      </x:c>
      <x:c r="I19" s="7" t="str">
        <x:v>Open 24 hours</x:v>
      </x:c>
      <x:c r="J19" s="7" t="str">
        <x:v>Perfect rating and clear local address</x:v>
      </x:c>
      <x:c r="K19" s="7" t="str">
        <x:v>High</x:v>
      </x:c>
      <x:c r="L19" s="7" t="str">
        <x:v>New - high priority</x:v>
      </x:c>
      <x:c r="M19" s="7" t="str">
        <x:v>Google Maps research</x:v>
      </x:c>
      <x:c r="N19" s="7" t="str">
        <x:v>https://www.google.com/maps/place/Msimanga+Plumbing+and+Sanitary+Services</x:v>
      </x:c>
      <x:c r="O19" s="9" t="n">
        <x:f>IF(H19="No",2,0)+IF(D19&lt;&gt;"Not visible",2,0)+IF(E19&gt;=4.5,3,IF(E19&gt;=4,2,IF(E19&gt;=3,1,0)))+IF(F19&gt;=10,3,IF(F19&gt;=3,2,IF(F19&gt;=1,1,0)))</x:f>
        <x:v>9</x:v>
      </x:c>
    </x:row>
    <x:row r="20">
      <x:c r="A20" s="7" t="n">
        <x:v>19</x:v>
      </x:c>
      <x:c r="B20" s="7" t="str">
        <x:v>General Plumbing &amp; Maintenances</x:v>
      </x:c>
      <x:c r="C20" s="7" t="str">
        <x:v>47 Stamford St, Turffontein</x:v>
      </x:c>
      <x:c r="D20" s="7" t="str">
        <x:v>078 522 0071</x:v>
      </x:c>
      <x:c r="E20" s="8" t="n">
        <x:v>4.8</x:v>
      </x:c>
      <x:c r="F20" s="9" t="n">
        <x:v>19</x:v>
      </x:c>
      <x:c r="G20" s="7" t="str">
        <x:v>Not visible</x:v>
      </x:c>
      <x:c r="H20" s="7" t="str">
        <x:v>No</x:v>
      </x:c>
      <x:c r="I20" s="7" t="str">
        <x:v>Open 24 hours</x:v>
      </x:c>
      <x:c r="J20" s="7" t="str">
        <x:v>Strong reviews; local service business</x:v>
      </x:c>
      <x:c r="K20" s="7" t="str">
        <x:v>Highest</x:v>
      </x:c>
      <x:c r="L20" s="7" t="str">
        <x:v>New - highest priority</x:v>
      </x:c>
      <x:c r="M20" s="7" t="str">
        <x:v>Google Maps research</x:v>
      </x:c>
      <x:c r="N20" s="7" t="str">
        <x:v>https://www.google.com/maps/place/General+Plumbing+%26+Maintenances</x:v>
      </x:c>
      <x:c r="O20" s="9" t="n">
        <x:f>IF(H20="No",2,0)+IF(D20&lt;&gt;"Not visible",2,0)+IF(E20&gt;=4.5,3,IF(E20&gt;=4,2,IF(E20&gt;=3,1,0)))+IF(F20&gt;=10,3,IF(F20&gt;=3,2,IF(F20&gt;=1,1,0)))</x:f>
        <x:v>10</x:v>
      </x:c>
    </x:row>
    <x:row r="21">
      <x:c r="A21" s="7" t="n">
        <x:v>20</x:v>
      </x:c>
      <x:c r="B21" s="7" t="str">
        <x:v>The Plumbers In Johannesburg</x:v>
      </x:c>
      <x:c r="C21" s="7" t="str">
        <x:v>Johannesburg</x:v>
      </x:c>
      <x:c r="D21" s="7" t="str">
        <x:v>011 084 7706</x:v>
      </x:c>
      <x:c r="E21" s="8" t="n">
        <x:v>5</x:v>
      </x:c>
      <x:c r="F21" s="9" t="n">
        <x:v>3</x:v>
      </x:c>
      <x:c r="G21" s="7" t="str">
        <x:v>Not visible</x:v>
      </x:c>
      <x:c r="H21" s="7" t="str">
        <x:v>No</x:v>
      </x:c>
      <x:c r="I21" s="7" t="str">
        <x:v>Open 24 hours</x:v>
      </x:c>
      <x:c r="J21" s="7" t="str">
        <x:v>Exact-match local name; good landing-page opportunity</x:v>
      </x:c>
      <x:c r="K21" s="7" t="str">
        <x:v>Medium</x:v>
      </x:c>
      <x:c r="L21" s="7" t="str">
        <x:v>New - medium priority</x:v>
      </x:c>
      <x:c r="M21" s="7" t="str">
        <x:v>Google Maps research</x:v>
      </x:c>
      <x:c r="N21" s="7" t="str">
        <x:v>https://www.google.com/maps/place/The+Plumbers+In+Johannesburg</x:v>
      </x:c>
      <x:c r="O21" s="9" t="n">
        <x:f>IF(H21="No",2,0)+IF(D21&lt;&gt;"Not visible",2,0)+IF(E21&gt;=4.5,3,IF(E21&gt;=4,2,IF(E21&gt;=3,1,0)))+IF(F21&gt;=10,3,IF(F21&gt;=3,2,IF(F21&gt;=1,1,0)))</x:f>
        <x:v>9</x:v>
      </x:c>
    </x:row>
    <x:row r="22">
      <x:c r="A22" s="7" t="n">
        <x:v>21</x:v>
      </x:c>
      <x:c r="B22" s="7" t="str">
        <x:v>Plumber Done Right Ferndale</x:v>
      </x:c>
      <x:c r="C22" s="7" t="str">
        <x:v>292 Surrey Ave, Ferndale</x:v>
      </x:c>
      <x:c r="D22" s="7" t="str">
        <x:v>011 088 5417</x:v>
      </x:c>
      <x:c r="E22" s="8" t="n">
        <x:v>5</x:v>
      </x:c>
      <x:c r="F22" s="9" t="n">
        <x:v>3</x:v>
      </x:c>
      <x:c r="G22" s="7" t="str">
        <x:v>Not visible</x:v>
      </x:c>
      <x:c r="H22" s="7" t="str">
        <x:v>No</x:v>
      </x:c>
      <x:c r="I22" s="7" t="str">
        <x:v>Open 24 hours</x:v>
      </x:c>
      <x:c r="J22" s="7" t="str">
        <x:v>Strong name and perfect rating</x:v>
      </x:c>
      <x:c r="K22" s="7" t="str">
        <x:v>Medium</x:v>
      </x:c>
      <x:c r="L22" s="7" t="str">
        <x:v>New - medium priority</x:v>
      </x:c>
      <x:c r="M22" s="7" t="str">
        <x:v>Google Maps research</x:v>
      </x:c>
      <x:c r="N22" s="7" t="str">
        <x:v>https://www.google.com/maps/place/Plumber+Done+Right+Ferndale</x:v>
      </x:c>
      <x:c r="O22" s="9" t="n">
        <x:f>IF(H22="No",2,0)+IF(D22&lt;&gt;"Not visible",2,0)+IF(E22&gt;=4.5,3,IF(E22&gt;=4,2,IF(E22&gt;=3,1,0)))+IF(F22&gt;=10,3,IF(F22&gt;=3,2,IF(F22&gt;=1,1,0)))</x:f>
        <x:v>9</x:v>
      </x:c>
    </x:row>
    <x:row r="23">
      <x:c r="A23" s="7" t="n">
        <x:v>22</x:v>
      </x:c>
      <x:c r="B23" s="7" t="str">
        <x:v>Perfecto Plumbers &amp; Electrical</x:v>
      </x:c>
      <x:c r="C23" s="7" t="str">
        <x:v>124 Pritchard St, Randburg</x:v>
      </x:c>
      <x:c r="D23" s="7" t="str">
        <x:v>082 562 3487</x:v>
      </x:c>
      <x:c r="E23" s="8" t="n">
        <x:v>2.8</x:v>
      </x:c>
      <x:c r="F23" s="9" t="n">
        <x:v>18</x:v>
      </x:c>
      <x:c r="G23" s="7" t="str">
        <x:v>Not visible</x:v>
      </x:c>
      <x:c r="H23" s="7" t="str">
        <x:v>No</x:v>
      </x:c>
      <x:c r="I23" s="7" t="str">
        <x:v>Open 24 hours</x:v>
      </x:c>
      <x:c r="J23" s="7" t="str">
        <x:v>Reachable but weak rating; only approach with reputation package</x:v>
      </x:c>
      <x:c r="K23" s="7" t="str">
        <x:v>Low</x:v>
      </x:c>
      <x:c r="L23" s="7" t="str">
        <x:v>New - low priority</x:v>
      </x:c>
      <x:c r="M23" s="7" t="str">
        <x:v>Google Maps research</x:v>
      </x:c>
      <x:c r="N23" s="7" t="str">
        <x:v>https://www.google.com/maps/place/Perfecto+Plumbers+%26+Electrical</x:v>
      </x:c>
      <x:c r="O23" s="9" t="n">
        <x:f>IF(H23="No",2,0)+IF(D23&lt;&gt;"Not visible",2,0)+IF(E23&gt;=4.5,3,IF(E23&gt;=4,2,IF(E23&gt;=3,1,0)))+IF(F23&gt;=10,3,IF(F23&gt;=3,2,IF(F23&gt;=1,1,0)))</x:f>
        <x:v>7</x:v>
      </x:c>
    </x:row>
    <x:row r="24">
      <x:c r="A24" s="7" t="n">
        <x:v>23</x:v>
      </x:c>
      <x:c r="B24" s="7" t="str">
        <x:v>Busani@Soweto Plumbing Services / BK Prop Dev</x:v>
      </x:c>
      <x:c r="C24" s="7" t="str">
        <x:v>14947 Amanzimtoti St, Soweto</x:v>
      </x:c>
      <x:c r="D24" s="7" t="str">
        <x:v>073 511 8894</x:v>
      </x:c>
      <x:c r="E24" s="8" t="n">
        <x:v>5</x:v>
      </x:c>
      <x:c r="F24" s="9" t="n">
        <x:v>83</x:v>
      </x:c>
      <x:c r="G24" s="7" t="str">
        <x:v>Not visible</x:v>
      </x:c>
      <x:c r="H24" s="7" t="str">
        <x:v>No</x:v>
      </x:c>
      <x:c r="I24" s="7" t="str">
        <x:v>Opens 6am</x:v>
      </x:c>
      <x:c r="J24" s="7" t="str">
        <x:v>Exceptional review volume; strongest new lead</x:v>
      </x:c>
      <x:c r="K24" s="7" t="str">
        <x:v>Highest</x:v>
      </x:c>
      <x:c r="L24" s="7" t="str">
        <x:v>Contact first</x:v>
      </x:c>
      <x:c r="M24" s="7" t="str">
        <x:v>Google Maps research</x:v>
      </x:c>
      <x:c r="N24" s="7" t="str">
        <x:v>https://www.google.com/maps/place/Busani%40Soweto+Plumbing+Services</x:v>
      </x:c>
      <x:c r="O24" s="9" t="n">
        <x:f>IF(H24="No",2,0)+IF(D24&lt;&gt;"Not visible",2,0)+IF(E24&gt;=4.5,3,IF(E24&gt;=4,2,IF(E24&gt;=3,1,0)))+IF(F24&gt;=10,3,IF(F24&gt;=3,2,IF(F24&gt;=1,1,0)))</x:f>
        <x:v>10</x:v>
      </x:c>
    </x:row>
    <x:row r="25">
      <x:c r="A25" s="7" t="n">
        <x:v>24</x:v>
      </x:c>
      <x:c r="B25" s="7" t="str">
        <x:v>SIMZA MASIZA PLUMBERS</x:v>
      </x:c>
      <x:c r="C25" s="7" t="str">
        <x:v>3671 Diepkloof, Soweto</x:v>
      </x:c>
      <x:c r="D25" s="7" t="str">
        <x:v>078 194 9005</x:v>
      </x:c>
      <x:c r="E25" s="8" t="n">
        <x:v>4.9</x:v>
      </x:c>
      <x:c r="F25" s="9" t="n">
        <x:v>15</x:v>
      </x:c>
      <x:c r="G25" s="7" t="str">
        <x:v>Not visible</x:v>
      </x:c>
      <x:c r="H25" s="7" t="str">
        <x:v>No</x:v>
      </x:c>
      <x:c r="I25" s="7" t="str">
        <x:v>Open 24 hours</x:v>
      </x:c>
      <x:c r="J25" s="7" t="str">
        <x:v>Strong reviews and 24-hour availability</x:v>
      </x:c>
      <x:c r="K25" s="7" t="str">
        <x:v>Highest</x:v>
      </x:c>
      <x:c r="L25" s="7" t="str">
        <x:v>New - highest priority</x:v>
      </x:c>
      <x:c r="M25" s="7" t="str">
        <x:v>Google Maps research</x:v>
      </x:c>
      <x:c r="N25" s="7" t="str">
        <x:v>https://www.google.com/maps/place/SIMZA+MASIZA+PLUMBERS</x:v>
      </x:c>
      <x:c r="O25" s="9" t="n">
        <x:f>IF(H25="No",2,0)+IF(D25&lt;&gt;"Not visible",2,0)+IF(E25&gt;=4.5,3,IF(E25&gt;=4,2,IF(E25&gt;=3,1,0)))+IF(F25&gt;=10,3,IF(F25&gt;=3,2,IF(F25&gt;=1,1,0)))</x:f>
        <x:v>10</x:v>
      </x:c>
    </x:row>
    <x:row r="26">
      <x:c r="A26" s="7" t="n">
        <x:v>25</x:v>
      </x:c>
      <x:c r="B26" s="7" t="str">
        <x:v>B&amp;T Plumbers</x:v>
      </x:c>
      <x:c r="C26" s="7" t="str">
        <x:v>Shop 11 Industrial Park, Soweto</x:v>
      </x:c>
      <x:c r="D26" s="7" t="str">
        <x:v>072 181 9619</x:v>
      </x:c>
      <x:c r="E26" s="8" t="n">
        <x:v>4.7</x:v>
      </x:c>
      <x:c r="F26" s="9" t="n">
        <x:v>6</x:v>
      </x:c>
      <x:c r="G26" s="7" t="str">
        <x:v>Not visible</x:v>
      </x:c>
      <x:c r="H26" s="7" t="str">
        <x:v>No</x:v>
      </x:c>
      <x:c r="I26" s="7" t="str">
        <x:v>Opens 8am</x:v>
      </x:c>
      <x:c r="J26" s="7" t="str">
        <x:v>Good reviews and clear premises</x:v>
      </x:c>
      <x:c r="K26" s="7" t="str">
        <x:v>High</x:v>
      </x:c>
      <x:c r="L26" s="7" t="str">
        <x:v>New - high priority</x:v>
      </x:c>
      <x:c r="M26" s="7" t="str">
        <x:v>Google Maps research</x:v>
      </x:c>
      <x:c r="N26" s="7" t="str">
        <x:v>https://www.google.com/maps/place/B%26T+Plumbers</x:v>
      </x:c>
      <x:c r="O26" s="9" t="n">
        <x:f>IF(H26="No",2,0)+IF(D26&lt;&gt;"Not visible",2,0)+IF(E26&gt;=4.5,3,IF(E26&gt;=4,2,IF(E26&gt;=3,1,0)))+IF(F26&gt;=10,3,IF(F26&gt;=3,2,IF(F26&gt;=1,1,0)))</x:f>
        <x:v>9</x:v>
      </x:c>
    </x:row>
    <x:row r="27">
      <x:c r="A27" s="7" t="n">
        <x:v>26</x:v>
      </x:c>
      <x:c r="B27" s="7" t="str">
        <x:v>D&amp;D Plumbers</x:v>
      </x:c>
      <x:c r="C27" s="7" t="str">
        <x:v>Johannesburg / Soweto</x:v>
      </x:c>
      <x:c r="D27" s="7" t="str">
        <x:v>074 163 1682</x:v>
      </x:c>
      <x:c r="E27" s="8" t="n">
        <x:v>4.5</x:v>
      </x:c>
      <x:c r="F27" s="9" t="n">
        <x:v>2</x:v>
      </x:c>
      <x:c r="G27" s="7" t="str">
        <x:v>Not visible</x:v>
      </x:c>
      <x:c r="H27" s="7" t="str">
        <x:v>No</x:v>
      </x:c>
      <x:c r="I27" s="7" t="str">
        <x:v>Open until 10pm</x:v>
      </x:c>
      <x:c r="J27" s="7" t="str">
        <x:v>Small but positive review base</x:v>
      </x:c>
      <x:c r="K27" s="7" t="str">
        <x:v>Medium</x:v>
      </x:c>
      <x:c r="L27" s="7" t="str">
        <x:v>New - medium priority</x:v>
      </x:c>
      <x:c r="M27" s="7" t="str">
        <x:v>Google Maps research</x:v>
      </x:c>
      <x:c r="N27" s="7" t="str">
        <x:v>https://www.google.com/maps/place/D%26D+Plumbers</x:v>
      </x:c>
      <x:c r="O27" s="9" t="n">
        <x:f>IF(H27="No",2,0)+IF(D27&lt;&gt;"Not visible",2,0)+IF(E27&gt;=4.5,3,IF(E27&gt;=4,2,IF(E27&gt;=3,1,0)))+IF(F27&gt;=10,3,IF(F27&gt;=3,2,IF(F27&gt;=1,1,0)))</x:f>
        <x:v>8</x:v>
      </x:c>
    </x:row>
    <x:row r="28">
      <x:c r="A28" s="7" t="n">
        <x:v>27</x:v>
      </x:c>
      <x:c r="B28" s="7" t="str">
        <x:v>All Set Plumbing &amp; Construction</x:v>
      </x:c>
      <x:c r="C28" s="7" t="str">
        <x:v>21971 Basil St, Soweto</x:v>
      </x:c>
      <x:c r="D28" s="7" t="str">
        <x:v>073 751 5194</x:v>
      </x:c>
      <x:c r="E28" s="8" t="n">
        <x:v>5</x:v>
      </x:c>
      <x:c r="F28" s="9" t="n">
        <x:v>1</x:v>
      </x:c>
      <x:c r="G28" s="7" t="str">
        <x:v>Not visible</x:v>
      </x:c>
      <x:c r="H28" s="7" t="str">
        <x:v>No</x:v>
      </x:c>
      <x:c r="I28" s="7" t="str">
        <x:v>Open 24 hours</x:v>
      </x:c>
      <x:c r="J28" s="7" t="str">
        <x:v>Broader construction upsell potential</x:v>
      </x:c>
      <x:c r="K28" s="7" t="str">
        <x:v>Medium</x:v>
      </x:c>
      <x:c r="L28" s="7" t="str">
        <x:v>New - medium priority</x:v>
      </x:c>
      <x:c r="M28" s="7" t="str">
        <x:v>Google Maps research</x:v>
      </x:c>
      <x:c r="N28" s="7" t="str">
        <x:v>https://www.google.com/maps/place/All+Set+Plumbing+%26+Construction</x:v>
      </x:c>
      <x:c r="O28" s="9" t="n">
        <x:f>IF(H28="No",2,0)+IF(D28&lt;&gt;"Not visible",2,0)+IF(E28&gt;=4.5,3,IF(E28&gt;=4,2,IF(E28&gt;=3,1,0)))+IF(F28&gt;=10,3,IF(F28&gt;=3,2,IF(F28&gt;=1,1,0)))</x:f>
        <x:v>8</x:v>
      </x:c>
    </x:row>
    <x:row r="29">
      <x:c r="A29" s="7" t="n">
        <x:v>28</x:v>
      </x:c>
      <x:c r="B29" s="7" t="str">
        <x:v>Creative Plumbing</x:v>
      </x:c>
      <x:c r="C29" s="7" t="str">
        <x:v>Soweto</x:v>
      </x:c>
      <x:c r="D29" s="7" t="str">
        <x:v>072 369 6070</x:v>
      </x:c>
      <x:c r="E29" s="8" t="n">
        <x:v>0</x:v>
      </x:c>
      <x:c r="F29" s="9" t="n">
        <x:v>0</x:v>
      </x:c>
      <x:c r="G29" s="7" t="str">
        <x:v>Not visible</x:v>
      </x:c>
      <x:c r="H29" s="7" t="str">
        <x:v>No</x:v>
      </x:c>
      <x:c r="I29" s="7" t="str">
        <x:v>Open 24 hours</x:v>
      </x:c>
      <x:c r="J29" s="7" t="str">
        <x:v>No reviews; reachable and active listing</x:v>
      </x:c>
      <x:c r="K29" s="7" t="str">
        <x:v>Low</x:v>
      </x:c>
      <x:c r="L29" s="7" t="str">
        <x:v>New - nurture</x:v>
      </x:c>
      <x:c r="M29" s="7" t="str">
        <x:v>Google Maps research</x:v>
      </x:c>
      <x:c r="N29" s="7" t="str">
        <x:v>https://www.google.com/maps/place/Creative+Plumbing</x:v>
      </x:c>
      <x:c r="O29" s="9" t="n">
        <x:f>IF(H29="No",2,0)+IF(D29&lt;&gt;"Not visible",2,0)+IF(E29&gt;=4.5,3,IF(E29&gt;=4,2,IF(E29&gt;=3,1,0)))+IF(F29&gt;=10,3,IF(F29&gt;=3,2,IF(F29&gt;=1,1,0)))</x:f>
        <x:v>4</x:v>
      </x:c>
    </x:row>
    <x:row r="30">
      <x:c r="A30" s="7" t="n">
        <x:v>29</x:v>
      </x:c>
      <x:c r="B30" s="7" t="str">
        <x:v>Moresi Plumbing and Projects (Pty) Ltd</x:v>
      </x:c>
      <x:c r="C30" s="7" t="str">
        <x:v>9419 Groot Letaba Dr, Soweto</x:v>
      </x:c>
      <x:c r="D30" s="7" t="str">
        <x:v>073 672 0027</x:v>
      </x:c>
      <x:c r="E30" s="8" t="n">
        <x:v>0</x:v>
      </x:c>
      <x:c r="F30" s="9" t="n">
        <x:v>0</x:v>
      </x:c>
      <x:c r="G30" s="7" t="str">
        <x:v>Not visible</x:v>
      </x:c>
      <x:c r="H30" s="7" t="str">
        <x:v>No</x:v>
      </x:c>
      <x:c r="I30" s="7" t="str">
        <x:v>Opens 7am Saturday</x:v>
      </x:c>
      <x:c r="J30" s="7" t="str">
        <x:v>Projects business; needs credibility site</x:v>
      </x:c>
      <x:c r="K30" s="7" t="str">
        <x:v>Low</x:v>
      </x:c>
      <x:c r="L30" s="7" t="str">
        <x:v>New - nurture</x:v>
      </x:c>
      <x:c r="M30" s="7" t="str">
        <x:v>Google Maps research</x:v>
      </x:c>
      <x:c r="N30" s="7" t="str">
        <x:v>https://www.google.com/maps/place/Moresi+Plumbing+and+Projects</x:v>
      </x:c>
      <x:c r="O30" s="9" t="n">
        <x:f>IF(H30="No",2,0)+IF(D30&lt;&gt;"Not visible",2,0)+IF(E30&gt;=4.5,3,IF(E30&gt;=4,2,IF(E30&gt;=3,1,0)))+IF(F30&gt;=10,3,IF(F30&gt;=3,2,IF(F30&gt;=1,1,0)))</x:f>
        <x:v>4</x:v>
      </x:c>
    </x:row>
    <x:row r="31">
      <x:c r="A31" s="7" t="n">
        <x:v>30</x:v>
      </x:c>
      <x:c r="B31" s="7" t="str">
        <x:v>Vonga J Plumbing and Projects</x:v>
      </x:c>
      <x:c r="C31" s="7" t="str">
        <x:v>3492 Leloko St, Soweto</x:v>
      </x:c>
      <x:c r="D31" s="7" t="str">
        <x:v>078 934 7013</x:v>
      </x:c>
      <x:c r="E31" s="8" t="n">
        <x:v>5</x:v>
      </x:c>
      <x:c r="F31" s="9" t="n">
        <x:v>3</x:v>
      </x:c>
      <x:c r="G31" s="7" t="str">
        <x:v>Not visible</x:v>
      </x:c>
      <x:c r="H31" s="7" t="str">
        <x:v>No</x:v>
      </x:c>
      <x:c r="I31" s="7" t="str">
        <x:v>Open 24 hours</x:v>
      </x:c>
      <x:c r="J31" s="7" t="str">
        <x:v>Perfect rating; service availability needs clarification</x:v>
      </x:c>
      <x:c r="K31" s="7" t="str">
        <x:v>Medium</x:v>
      </x:c>
      <x:c r="L31" s="7" t="str">
        <x:v>New - medium priority</x:v>
      </x:c>
      <x:c r="M31" s="7" t="str">
        <x:v>Google Maps research</x:v>
      </x:c>
      <x:c r="N31" s="7" t="str">
        <x:v>https://www.google.com/maps/place/Vonga+j+plumbing+and+projects</x:v>
      </x:c>
      <x:c r="O31" s="9" t="n">
        <x:f>IF(H31="No",2,0)+IF(D31&lt;&gt;"Not visible",2,0)+IF(E31&gt;=4.5,3,IF(E31&gt;=4,2,IF(E31&gt;=3,1,0)))+IF(F31&gt;=10,3,IF(F31&gt;=3,2,IF(F31&gt;=1,1,0)))</x:f>
        <x:v>9</x:v>
      </x:c>
    </x:row>
    <x:row r="32">
      <x:c r="A32" s="7" t="n">
        <x:v>31</x:v>
      </x:c>
      <x:c r="B32" s="7" t="str">
        <x:v>Firikgong (Pty) Ltd</x:v>
      </x:c>
      <x:c r="C32" s="7" t="str">
        <x:v>2602 Ntloko St, Soweto</x:v>
      </x:c>
      <x:c r="D32" s="7" t="str">
        <x:v>081 700 6641</x:v>
      </x:c>
      <x:c r="E32" s="8" t="n">
        <x:v>0</x:v>
      </x:c>
      <x:c r="F32" s="9" t="n">
        <x:v>0</x:v>
      </x:c>
      <x:c r="G32" s="7" t="str">
        <x:v>Not visible</x:v>
      </x:c>
      <x:c r="H32" s="7" t="str">
        <x:v>No</x:v>
      </x:c>
      <x:c r="I32" s="7" t="str">
        <x:v>Open 24 hours</x:v>
      </x:c>
      <x:c r="J32" s="7" t="str">
        <x:v>Reachable new listing; no reviews yet</x:v>
      </x:c>
      <x:c r="K32" s="7" t="str">
        <x:v>Low</x:v>
      </x:c>
      <x:c r="L32" s="7" t="str">
        <x:v>New - nurture</x:v>
      </x:c>
      <x:c r="M32" s="7" t="str">
        <x:v>Google Maps research</x:v>
      </x:c>
      <x:c r="N32" s="7" t="str">
        <x:v>https://www.google.com/maps/place/Firikgong</x:v>
      </x:c>
      <x:c r="O32" s="9" t="n">
        <x:f>IF(H32="No",2,0)+IF(D32&lt;&gt;"Not visible",2,0)+IF(E32&gt;=4.5,3,IF(E32&gt;=4,2,IF(E32&gt;=3,1,0)))+IF(F32&gt;=10,3,IF(F32&gt;=3,2,IF(F32&gt;=1,1,0)))</x:f>
        <x:v>4</x:v>
      </x:c>
    </x:row>
    <x:row r="33">
      <x:c r="A33" s="7" t="n">
        <x:v>32</x:v>
      </x:c>
      <x:c r="B33" s="7" t="str">
        <x:v>Plumbsmart Plumbers</x:v>
      </x:c>
      <x:c r="C33" s="7" t="str">
        <x:v>Hutton St, Centurion</x:v>
      </x:c>
      <x:c r="D33" s="7" t="str">
        <x:v>078 737 8559</x:v>
      </x:c>
      <x:c r="E33" s="8" t="n">
        <x:v>5</x:v>
      </x:c>
      <x:c r="F33" s="9" t="n">
        <x:v>13</x:v>
      </x:c>
      <x:c r="G33" s="7" t="str">
        <x:v>Not visible</x:v>
      </x:c>
      <x:c r="H33" s="7" t="str">
        <x:v>No</x:v>
      </x:c>
      <x:c r="I33" s="7" t="str">
        <x:v>Open until 11pm</x:v>
      </x:c>
      <x:c r="J33" s="7" t="str">
        <x:v>Strong reviews; customers praise reliability</x:v>
      </x:c>
      <x:c r="K33" s="7" t="str">
        <x:v>Highest</x:v>
      </x:c>
      <x:c r="L33" s="7" t="str">
        <x:v>New - highest priority</x:v>
      </x:c>
      <x:c r="M33" s="7" t="str">
        <x:v>Google Maps research</x:v>
      </x:c>
      <x:c r="N33" s="7" t="str">
        <x:v>https://www.google.com/maps/place/Plumbsmart+Plumbers</x:v>
      </x:c>
      <x:c r="O33" s="9" t="n">
        <x:f>IF(H33="No",2,0)+IF(D33&lt;&gt;"Not visible",2,0)+IF(E33&gt;=4.5,3,IF(E33&gt;=4,2,IF(E33&gt;=3,1,0)))+IF(F33&gt;=10,3,IF(F33&gt;=3,2,IF(F33&gt;=1,1,0)))</x:f>
        <x:v>10</x:v>
      </x:c>
    </x:row>
    <x:row r="34">
      <x:c r="A34" s="7" t="n">
        <x:v>33</x:v>
      </x:c>
      <x:c r="B34" s="7" t="str">
        <x:v>Cronos Rooihuiskraal Plumbers &amp; Electricians</x:v>
      </x:c>
      <x:c r="C34" s="7" t="str">
        <x:v>43 Hornbill Ave, Centurion</x:v>
      </x:c>
      <x:c r="D34" s="7" t="str">
        <x:v>084 345 9607</x:v>
      </x:c>
      <x:c r="E34" s="8" t="n">
        <x:v>5</x:v>
      </x:c>
      <x:c r="F34" s="9" t="n">
        <x:v>13</x:v>
      </x:c>
      <x:c r="G34" s="7" t="str">
        <x:v>Not visible</x:v>
      </x:c>
      <x:c r="H34" s="7" t="str">
        <x:v>No</x:v>
      </x:c>
      <x:c r="I34" s="7" t="str">
        <x:v>Not visible</x:v>
      </x:c>
      <x:c r="J34" s="7" t="str">
        <x:v>Strong reviews; combined plumbing/electrical offer</x:v>
      </x:c>
      <x:c r="K34" s="7" t="str">
        <x:v>Highest</x:v>
      </x:c>
      <x:c r="L34" s="7" t="str">
        <x:v>New - highest priority</x:v>
      </x:c>
      <x:c r="M34" s="7" t="str">
        <x:v>Google Maps research</x:v>
      </x:c>
      <x:c r="N34" s="7" t="str">
        <x:v>https://www.google.com/maps/place/Cronos+Rooihuiskraal+Plumbers+%26+Electricians</x:v>
      </x:c>
      <x:c r="O34" s="9" t="n">
        <x:f>IF(H34="No",2,0)+IF(D34&lt;&gt;"Not visible",2,0)+IF(E34&gt;=4.5,3,IF(E34&gt;=4,2,IF(E34&gt;=3,1,0)))+IF(F34&gt;=10,3,IF(F34&gt;=3,2,IF(F34&gt;=1,1,0)))</x:f>
        <x:v>10</x:v>
      </x:c>
    </x:row>
    <x:row r="35">
      <x:c r="A35" s="7" t="n">
        <x:v>34</x:v>
      </x:c>
      <x:c r="B35" s="7" t="str">
        <x:v>Alekai Plumbing and Electrical</x:v>
      </x:c>
      <x:c r="C35" s="7" t="str">
        <x:v>Alberton / Johannesburg</x:v>
      </x:c>
      <x:c r="D35" s="7" t="str">
        <x:v>Not visible</x:v>
      </x:c>
      <x:c r="E35" s="8" t="n">
        <x:v>5</x:v>
      </x:c>
      <x:c r="F35" s="9" t="n">
        <x:v>10</x:v>
      </x:c>
      <x:c r="G35" s="7" t="str">
        <x:v>Not visible</x:v>
      </x:c>
      <x:c r="H35" s="7" t="str">
        <x:v>No</x:v>
      </x:c>
      <x:c r="I35" s="7" t="str">
        <x:v>Open 24 hours</x:v>
      </x:c>
      <x:c r="J35" s="7" t="str">
        <x:v>Ten perfect reviews but phone must be researched</x:v>
      </x:c>
      <x:c r="K35" s="7" t="str">
        <x:v>Medium</x:v>
      </x:c>
      <x:c r="L35" s="7" t="str">
        <x:v>Research phone</x:v>
      </x:c>
      <x:c r="M35" s="7" t="str">
        <x:v>Google Maps research</x:v>
      </x:c>
      <x:c r="N35" s="7" t="str">
        <x:v>https://www.google.com/maps/place/Alekai+Plumbing+And+Electrical</x:v>
      </x:c>
      <x:c r="O35" s="9" t="n">
        <x:f>IF(H35="No",2,0)+IF(D35&lt;&gt;"Not visible",2,0)+IF(E35&gt;=4.5,3,IF(E35&gt;=4,2,IF(E35&gt;=3,1,0)))+IF(F35&gt;=10,3,IF(F35&gt;=3,2,IF(F35&gt;=1,1,0)))</x:f>
        <x:v>8</x:v>
      </x:c>
    </x:row>
    <x:row r="36">
      <x:c r="A36" s="7" t="n">
        <x:v>35</x:v>
      </x:c>
      <x:c r="B36" s="7" t="str">
        <x:v>Calco Plumbers</x:v>
      </x:c>
      <x:c r="C36" s="7" t="str">
        <x:v>95 McBride St, Alberton</x:v>
      </x:c>
      <x:c r="D36" s="7" t="str">
        <x:v>011 867 0134</x:v>
      </x:c>
      <x:c r="E36" s="8" t="n">
        <x:v>5</x:v>
      </x:c>
      <x:c r="F36" s="9" t="n">
        <x:v>1</x:v>
      </x:c>
      <x:c r="G36" s="7" t="str">
        <x:v>Not visible</x:v>
      </x:c>
      <x:c r="H36" s="7" t="str">
        <x:v>No</x:v>
      </x:c>
      <x:c r="I36" s="7" t="str">
        <x:v>Not visible</x:v>
      </x:c>
      <x:c r="J36" s="7" t="str">
        <x:v>Contractor listing with reachable landline</x:v>
      </x:c>
      <x:c r="K36" s="7" t="str">
        <x:v>Medium</x:v>
      </x:c>
      <x:c r="L36" s="7" t="str">
        <x:v>New - medium priority</x:v>
      </x:c>
      <x:c r="M36" s="7" t="str">
        <x:v>Google Maps research</x:v>
      </x:c>
      <x:c r="N36" s="7" t="str">
        <x:v>https://www.google.com/maps/place/Calco+Plumbers</x:v>
      </x:c>
      <x:c r="O36" s="9" t="n">
        <x:f>IF(H36="No",2,0)+IF(D36&lt;&gt;"Not visible",2,0)+IF(E36&gt;=4.5,3,IF(E36&gt;=4,2,IF(E36&gt;=3,1,0)))+IF(F36&gt;=10,3,IF(F36&gt;=3,2,IF(F36&gt;=1,1,0)))</x:f>
        <x:v>8</x:v>
      </x:c>
    </x:row>
    <x:row r="37">
      <x:c r="A37" s="7" t="n">
        <x:v>36</x:v>
      </x:c>
      <x:c r="B37" s="7" t="str">
        <x:v>GENC PLUMBING</x:v>
      </x:c>
      <x:c r="C37" s="7" t="str">
        <x:v>Alberton / Johannesburg</x:v>
      </x:c>
      <x:c r="D37" s="7" t="str">
        <x:v>065 078 1680</x:v>
      </x:c>
      <x:c r="E37" s="8" t="n">
        <x:v>4.7</x:v>
      </x:c>
      <x:c r="F37" s="9" t="n">
        <x:v>10</x:v>
      </x:c>
      <x:c r="G37" s="7" t="str">
        <x:v>Not visible</x:v>
      </x:c>
      <x:c r="H37" s="7" t="str">
        <x:v>No</x:v>
      </x:c>
      <x:c r="I37" s="7" t="str">
        <x:v>Open 24 hours</x:v>
      </x:c>
      <x:c r="J37" s="7" t="str">
        <x:v>Strong review count and prompt-service feedback</x:v>
      </x:c>
      <x:c r="K37" s="7" t="str">
        <x:v>Highest</x:v>
      </x:c>
      <x:c r="L37" s="7" t="str">
        <x:v>New - highest priority</x:v>
      </x:c>
      <x:c r="M37" s="7" t="str">
        <x:v>Google Maps research</x:v>
      </x:c>
      <x:c r="N37" s="7" t="str">
        <x:v>https://www.google.com/maps/place/GENC+PLUMBING</x:v>
      </x:c>
      <x:c r="O37" s="9" t="n">
        <x:f>IF(H37="No",2,0)+IF(D37&lt;&gt;"Not visible",2,0)+IF(E37&gt;=4.5,3,IF(E37&gt;=4,2,IF(E37&gt;=3,1,0)))+IF(F37&gt;=10,3,IF(F37&gt;=3,2,IF(F37&gt;=1,1,0)))</x:f>
        <x:v>10</x:v>
      </x:c>
    </x:row>
    <x:row r="38">
      <x:c r="A38" s="7" t="n">
        <x:v>37</x:v>
      </x:c>
      <x:c r="B38" s="7" t="str">
        <x:v>SUB ZERO PLUMBING</x:v>
      </x:c>
      <x:c r="C38" s="7" t="str">
        <x:v>49 Jacqueline Ave, Alberton</x:v>
      </x:c>
      <x:c r="D38" s="7" t="str">
        <x:v>083 975 7592</x:v>
      </x:c>
      <x:c r="E38" s="8" t="n">
        <x:v>4.5</x:v>
      </x:c>
      <x:c r="F38" s="9" t="n">
        <x:v>2</x:v>
      </x:c>
      <x:c r="G38" s="7" t="str">
        <x:v>Not visible</x:v>
      </x:c>
      <x:c r="H38" s="7" t="str">
        <x:v>No</x:v>
      </x:c>
      <x:c r="I38" s="7" t="str">
        <x:v>Not visible</x:v>
      </x:c>
      <x:c r="J38" s="7" t="str">
        <x:v>Positive small review base</x:v>
      </x:c>
      <x:c r="K38" s="7" t="str">
        <x:v>Medium</x:v>
      </x:c>
      <x:c r="L38" s="7" t="str">
        <x:v>New - medium priority</x:v>
      </x:c>
      <x:c r="M38" s="7" t="str">
        <x:v>Google Maps research</x:v>
      </x:c>
      <x:c r="N38" s="7" t="str">
        <x:v>https://www.google.com/maps/place/SUB+ZERO+PLUMBING</x:v>
      </x:c>
      <x:c r="O38" s="9" t="n">
        <x:f>IF(H38="No",2,0)+IF(D38&lt;&gt;"Not visible",2,0)+IF(E38&gt;=4.5,3,IF(E38&gt;=4,2,IF(E38&gt;=3,1,0)))+IF(F38&gt;=10,3,IF(F38&gt;=3,2,IF(F38&gt;=1,1,0)))</x:f>
        <x:v>8</x:v>
      </x:c>
    </x:row>
    <x:row r="39">
      <x:c r="A39" s="7" t="n">
        <x:v>38</x:v>
      </x:c>
      <x:c r="B39" s="7" t="str">
        <x:v>Ebenezer Plumbing (Pty) Ltd</x:v>
      </x:c>
      <x:c r="C39" s="7" t="str">
        <x:v>Alberton</x:v>
      </x:c>
      <x:c r="D39" s="7" t="str">
        <x:v>076 203 4997</x:v>
      </x:c>
      <x:c r="E39" s="8" t="n">
        <x:v>5</x:v>
      </x:c>
      <x:c r="F39" s="9" t="n">
        <x:v>2</x:v>
      </x:c>
      <x:c r="G39" s="7" t="str">
        <x:v>Not visible</x:v>
      </x:c>
      <x:c r="H39" s="7" t="str">
        <x:v>No</x:v>
      </x:c>
      <x:c r="I39" s="7" t="str">
        <x:v>Open 24 hours</x:v>
      </x:c>
      <x:c r="J39" s="7" t="str">
        <x:v>Perfect rating and 24-hour availability</x:v>
      </x:c>
      <x:c r="K39" s="7" t="str">
        <x:v>Medium</x:v>
      </x:c>
      <x:c r="L39" s="7" t="str">
        <x:v>New - medium priority</x:v>
      </x:c>
      <x:c r="M39" s="7" t="str">
        <x:v>Google Maps research</x:v>
      </x:c>
      <x:c r="N39" s="7" t="str">
        <x:v>https://www.google.com/maps/place/Ebenezer+Plumbing</x:v>
      </x:c>
      <x:c r="O39" s="9" t="n">
        <x:f>IF(H39="No",2,0)+IF(D39&lt;&gt;"Not visible",2,0)+IF(E39&gt;=4.5,3,IF(E39&gt;=4,2,IF(E39&gt;=3,1,0)))+IF(F39&gt;=10,3,IF(F39&gt;=3,2,IF(F39&gt;=1,1,0)))</x:f>
        <x:v>8</x:v>
      </x:c>
    </x:row>
    <x:row r="40">
      <x:c r="A40" s="7" t="n">
        <x:v>39</x:v>
      </x:c>
      <x:c r="B40" s="7" t="str">
        <x:v>Drain Guru</x:v>
      </x:c>
      <x:c r="C40" s="7" t="str">
        <x:v>Ballich Way, Rivonia, Sandton, 2128</x:v>
      </x:c>
      <x:c r="D40" s="7" t="str">
        <x:v>060 484 2246</x:v>
      </x:c>
      <x:c r="E40" s="8" t="n">
        <x:v>0</x:v>
      </x:c>
      <x:c r="F40" s="9" t="n">
        <x:v>0</x:v>
      </x:c>
      <x:c r="G40" s="7" t="str">
        <x:v>Not visible</x:v>
      </x:c>
      <x:c r="H40" s="7" t="str">
        <x:v>No</x:v>
      </x:c>
      <x:c r="I40" s="7" t="str">
        <x:v>Open until 11pm</x:v>
      </x:c>
      <x:c r="J40" s="7" t="str">
        <x:v>Drainage specialist with work photos and video</x:v>
      </x:c>
      <x:c r="K40" s="7" t="str">
        <x:v>Medium</x:v>
      </x:c>
      <x:c r="L40" s="7" t="str">
        <x:v>New - medium priority</x:v>
      </x:c>
      <x:c r="M40" s="7" t="str">
        <x:v>User screenshot</x:v>
      </x:c>
      <x:c r="N40" s="7" t="str">
        <x:v>https://www.google.com/maps</x:v>
      </x:c>
      <x:c r="O40" s="9" t="n">
        <x:f>IF(H40="No",2,0)+IF(D40&lt;&gt;"Not visible",2,0)+IF(E40&gt;=4.5,3,IF(E40&gt;=4,2,IF(E40&gt;=3,1,0)))+IF(F40&gt;=10,3,IF(F40&gt;=3,2,IF(F40&gt;=1,1,0)))</x:f>
        <x:v>4</x:v>
      </x:c>
    </x:row>
    <x:row r="41">
      <x:c r="A41" s="7" t="n">
        <x:v>40</x:v>
      </x:c>
      <x:c r="B41" s="7" t="str">
        <x:v>All Days Plumbing</x:v>
      </x:c>
      <x:c r="C41" s="7" t="str">
        <x:v>Johannesburg</x:v>
      </x:c>
      <x:c r="D41" s="7" t="str">
        <x:v>082 755 0854</x:v>
      </x:c>
      <x:c r="E41" s="8" t="n">
        <x:v>5</x:v>
      </x:c>
      <x:c r="F41" s="9" t="n">
        <x:v>2</x:v>
      </x:c>
      <x:c r="G41" s="7" t="str">
        <x:v>5+</x:v>
      </x:c>
      <x:c r="H41" s="7" t="str">
        <x:v>No</x:v>
      </x:c>
      <x:c r="I41" s="7" t="str">
        <x:v>Open 24 hours</x:v>
      </x:c>
      <x:c r="J41" s="7" t="str">
        <x:v>Online estimates; recent review visible</x:v>
      </x:c>
      <x:c r="K41" s="7" t="str">
        <x:v>Medium</x:v>
      </x:c>
      <x:c r="L41" s="7" t="str">
        <x:v>New - medium priority</x:v>
      </x:c>
      <x:c r="M41" s="7" t="str">
        <x:v>User screenshot</x:v>
      </x:c>
      <x:c r="N41" s="7" t="str">
        <x:v>https://www.google.com/maps</x:v>
      </x:c>
      <x:c r="O41" s="9" t="n">
        <x:f>IF(H41="No",2,0)+IF(D41&lt;&gt;"Not visible",2,0)+IF(E41&gt;=4.5,3,IF(E41&gt;=4,2,IF(E41&gt;=3,1,0)))+IF(F41&gt;=10,3,IF(F41&gt;=3,2,IF(F41&gt;=1,1,0)))</x:f>
        <x:v>8</x:v>
      </x:c>
    </x:row>
    <x:row r="42">
      <x:c r="A42" s="7" t="n">
        <x:v>41</x:v>
      </x:c>
      <x:c r="B42" s="7" t="str">
        <x:v>Leon Abelson Plumbers</x:v>
      </x:c>
      <x:c r="C42" s="7" t="str">
        <x:v>7 Main St, Rouxville, Sandton, 2192</x:v>
      </x:c>
      <x:c r="D42" s="7" t="str">
        <x:v>011 885 3009</x:v>
      </x:c>
      <x:c r="E42" s="8" t="n">
        <x:v>0</x:v>
      </x:c>
      <x:c r="F42" s="9" t="n">
        <x:v>0</x:v>
      </x:c>
      <x:c r="G42" s="7" t="str">
        <x:v>10+</x:v>
      </x:c>
      <x:c r="H42" s="7" t="str">
        <x:v>No</x:v>
      </x:c>
      <x:c r="I42" s="7" t="str">
        <x:v>Opens 7am</x:v>
      </x:c>
      <x:c r="J42" s="7" t="str">
        <x:v>Long-established listing with photos but no reviews</x:v>
      </x:c>
      <x:c r="K42" s="7" t="str">
        <x:v>Low</x:v>
      </x:c>
      <x:c r="L42" s="7" t="str">
        <x:v>New - nurture</x:v>
      </x:c>
      <x:c r="M42" s="7" t="str">
        <x:v>User screenshot</x:v>
      </x:c>
      <x:c r="N42" s="7" t="str">
        <x:v>https://www.google.com/maps</x:v>
      </x:c>
      <x:c r="O42" s="9" t="n">
        <x:f>IF(H42="No",2,0)+IF(D42&lt;&gt;"Not visible",2,0)+IF(E42&gt;=4.5,3,IF(E42&gt;=4,2,IF(E42&gt;=3,1,0)))+IF(F42&gt;=10,3,IF(F42&gt;=3,2,IF(F42&gt;=1,1,0)))</x:f>
        <x:v>4</x:v>
      </x:c>
    </x:row>
    <x:row r="43">
      <x:c r="A43" s="7" t="n">
        <x:v>42</x:v>
      </x:c>
      <x:c r="B43" s="7" t="str">
        <x:v>Digga Joes Plumbing</x:v>
      </x:c>
      <x:c r="C43" s="7" t="str">
        <x:v>Johannesburg</x:v>
      </x:c>
      <x:c r="D43" s="7" t="str">
        <x:v>011 809 8154</x:v>
      </x:c>
      <x:c r="E43" s="8" t="n">
        <x:v>0</x:v>
      </x:c>
      <x:c r="F43" s="9" t="n">
        <x:v>0</x:v>
      </x:c>
      <x:c r="G43" s="7" t="str">
        <x:v>5+</x:v>
      </x:c>
      <x:c r="H43" s="7" t="str">
        <x:v>No</x:v>
      </x:c>
      <x:c r="I43" s="7" t="str">
        <x:v>Opens 8am</x:v>
      </x:c>
      <x:c r="J43" s="7" t="str">
        <x:v>No reviews; reachable landline</x:v>
      </x:c>
      <x:c r="K43" s="7" t="str">
        <x:v>Low</x:v>
      </x:c>
      <x:c r="L43" s="7" t="str">
        <x:v>New - nurture</x:v>
      </x:c>
      <x:c r="M43" s="7" t="str">
        <x:v>User screenshot</x:v>
      </x:c>
      <x:c r="N43" s="7" t="str">
        <x:v>https://www.google.com/maps</x:v>
      </x:c>
      <x:c r="O43" s="9" t="n">
        <x:f>IF(H43="No",2,0)+IF(D43&lt;&gt;"Not visible",2,0)+IF(E43&gt;=4.5,3,IF(E43&gt;=4,2,IF(E43&gt;=3,1,0)))+IF(F43&gt;=10,3,IF(F43&gt;=3,2,IF(F43&gt;=1,1,0)))</x:f>
        <x:v>4</x:v>
      </x:c>
    </x:row>
    <x:row r="44">
      <x:c r="A44" s="7" t="n">
        <x:v>43</x:v>
      </x:c>
      <x:c r="B44" s="7" t="str">
        <x:v>Winston Ridge Plumbing &amp; Electrical</x:v>
      </x:c>
      <x:c r="C44" s="7" t="str">
        <x:v>Johannesburg</x:v>
      </x:c>
      <x:c r="D44" s="7" t="str">
        <x:v>067 182 9247</x:v>
      </x:c>
      <x:c r="E44" s="8" t="n">
        <x:v>5</x:v>
      </x:c>
      <x:c r="F44" s="9" t="n">
        <x:v>1</x:v>
      </x:c>
      <x:c r="G44" s="7" t="str">
        <x:v>5+</x:v>
      </x:c>
      <x:c r="H44" s="7" t="str">
        <x:v>No</x:v>
      </x:c>
      <x:c r="I44" s="7" t="str">
        <x:v>Open 24 hours</x:v>
      </x:c>
      <x:c r="J44" s="7" t="str">
        <x:v>One five-star review; combined services</x:v>
      </x:c>
      <x:c r="K44" s="7" t="str">
        <x:v>Medium</x:v>
      </x:c>
      <x:c r="L44" s="7" t="str">
        <x:v>New - medium priority</x:v>
      </x:c>
      <x:c r="M44" s="7" t="str">
        <x:v>User screenshot</x:v>
      </x:c>
      <x:c r="N44" s="7" t="str">
        <x:v>https://www.google.com/maps</x:v>
      </x:c>
      <x:c r="O44" s="9" t="n">
        <x:f>IF(H44="No",2,0)+IF(D44&lt;&gt;"Not visible",2,0)+IF(E44&gt;=4.5,3,IF(E44&gt;=4,2,IF(E44&gt;=3,1,0)))+IF(F44&gt;=10,3,IF(F44&gt;=3,2,IF(F44&gt;=1,1,0)))</x:f>
        <x:v>8</x:v>
      </x:c>
    </x:row>
    <x:row r="45">
      <x:c r="A45" s="7" t="n">
        <x:v>44</x:v>
      </x:c>
      <x:c r="B45" s="7" t="str">
        <x:v>Geyser And Plumbing Genius Plumbers</x:v>
      </x:c>
      <x:c r="C45" s="7" t="str">
        <x:v>Johannesburg</x:v>
      </x:c>
      <x:c r="D45" s="7" t="str">
        <x:v>060 699 4200</x:v>
      </x:c>
      <x:c r="E45" s="8" t="n">
        <x:v>0</x:v>
      </x:c>
      <x:c r="F45" s="9" t="n">
        <x:v>0</x:v>
      </x:c>
      <x:c r="G45" s="7" t="str">
        <x:v>3+</x:v>
      </x:c>
      <x:c r="H45" s="7" t="str">
        <x:v>No</x:v>
      </x:c>
      <x:c r="I45" s="7" t="str">
        <x:v>Open until 10pm</x:v>
      </x:c>
      <x:c r="J45" s="7" t="str">
        <x:v>Equipment photos and broad repair services</x:v>
      </x:c>
      <x:c r="K45" s="7" t="str">
        <x:v>Medium</x:v>
      </x:c>
      <x:c r="L45" s="7" t="str">
        <x:v>New - medium priority</x:v>
      </x:c>
      <x:c r="M45" s="7" t="str">
        <x:v>User screenshot</x:v>
      </x:c>
      <x:c r="N45" s="7" t="str">
        <x:v>https://www.google.com/maps</x:v>
      </x:c>
      <x:c r="O45" s="9" t="n">
        <x:f>IF(H45="No",2,0)+IF(D45&lt;&gt;"Not visible",2,0)+IF(E45&gt;=4.5,3,IF(E45&gt;=4,2,IF(E45&gt;=3,1,0)))+IF(F45&gt;=10,3,IF(F45&gt;=3,2,IF(F45&gt;=1,1,0)))</x:f>
        <x:v>4</x:v>
      </x:c>
    </x:row>
    <x:row r="46">
      <x:c r="A46" s="7" t="n">
        <x:v>45</x:v>
      </x:c>
      <x:c r="B46" s="7" t="str">
        <x:v>Pipe Masters Plumbing</x:v>
      </x:c>
      <x:c r="C46" s="7" t="str">
        <x:v>Johannesburg</x:v>
      </x:c>
      <x:c r="D46" s="7" t="str">
        <x:v>076 618 4883</x:v>
      </x:c>
      <x:c r="E46" s="8" t="n">
        <x:v>0</x:v>
      </x:c>
      <x:c r="F46" s="9" t="n">
        <x:v>0</x:v>
      </x:c>
      <x:c r="G46" s="7" t="str">
        <x:v>3+</x:v>
      </x:c>
      <x:c r="H46" s="7" t="str">
        <x:v>No</x:v>
      </x:c>
      <x:c r="I46" s="7" t="str">
        <x:v>Open 24 hours</x:v>
      </x:c>
      <x:c r="J46" s="7" t="str">
        <x:v>Strong job photos, branded team and Instagram presence</x:v>
      </x:c>
      <x:c r="K46" s="7" t="str">
        <x:v>Medium</x:v>
      </x:c>
      <x:c r="L46" s="7" t="str">
        <x:v>New - medium priority</x:v>
      </x:c>
      <x:c r="M46" s="7" t="str">
        <x:v>User screenshot</x:v>
      </x:c>
      <x:c r="N46" s="7" t="str">
        <x:v>https://www.google.com/maps</x:v>
      </x:c>
      <x:c r="O46" s="9" t="n">
        <x:f>IF(H46="No",2,0)+IF(D46&lt;&gt;"Not visible",2,0)+IF(E46&gt;=4.5,3,IF(E46&gt;=4,2,IF(E46&gt;=3,1,0)))+IF(F46&gt;=10,3,IF(F46&gt;=3,2,IF(F46&gt;=1,1,0)))</x:f>
        <x:v>4</x:v>
      </x:c>
    </x:row>
    <x:row r="47">
      <x:c r="A47" s="7" t="n">
        <x:v>46</x:v>
      </x:c>
      <x:c r="B47" s="7" t="str">
        <x:v>MT Plumbing and Renovations</x:v>
      </x:c>
      <x:c r="C47" s="7" t="str">
        <x:v>Johannesburg</x:v>
      </x:c>
      <x:c r="D47" s="7" t="str">
        <x:v>083 620 1679</x:v>
      </x:c>
      <x:c r="E47" s="8" t="n">
        <x:v>0</x:v>
      </x:c>
      <x:c r="F47" s="9" t="n">
        <x:v>0</x:v>
      </x:c>
      <x:c r="G47" s="7" t="str">
        <x:v>7+</x:v>
      </x:c>
      <x:c r="H47" s="7" t="str">
        <x:v>No</x:v>
      </x:c>
      <x:c r="I47" s="7" t="str">
        <x:v>Open 24 hours</x:v>
      </x:c>
      <x:c r="J47" s="7" t="str">
        <x:v>Online estimates; established listing</x:v>
      </x:c>
      <x:c r="K47" s="7" t="str">
        <x:v>Medium</x:v>
      </x:c>
      <x:c r="L47" s="7" t="str">
        <x:v>New - medium priority</x:v>
      </x:c>
      <x:c r="M47" s="7" t="str">
        <x:v>User screenshot</x:v>
      </x:c>
      <x:c r="N47" s="7" t="str">
        <x:v>https://www.google.com/maps</x:v>
      </x:c>
      <x:c r="O47" s="9" t="n">
        <x:f>IF(H47="No",2,0)+IF(D47&lt;&gt;"Not visible",2,0)+IF(E47&gt;=4.5,3,IF(E47&gt;=4,2,IF(E47&gt;=3,1,0)))+IF(F47&gt;=10,3,IF(F47&gt;=3,2,IF(F47&gt;=1,1,0)))</x:f>
        <x:v>4</x:v>
      </x:c>
    </x:row>
    <x:row r="48">
      <x:c r="A48" s="7" t="n">
        <x:v>47</x:v>
      </x:c>
      <x:c r="B48" s="7" t="str">
        <x:v>Woodlands Plumbing CC</x:v>
      </x:c>
      <x:c r="C48" s="7" t="str">
        <x:v>38 Melle St, Braamfontein, Johannesburg</x:v>
      </x:c>
      <x:c r="D48" s="7" t="str">
        <x:v>011 339 1398</x:v>
      </x:c>
      <x:c r="E48" s="8" t="n">
        <x:v>5</x:v>
      </x:c>
      <x:c r="F48" s="9" t="n">
        <x:v>1</x:v>
      </x:c>
      <x:c r="G48" s="7" t="str">
        <x:v>7+</x:v>
      </x:c>
      <x:c r="H48" s="7" t="str">
        <x:v>No</x:v>
      </x:c>
      <x:c r="I48" s="7" t="str">
        <x:v>Opens 8am</x:v>
      </x:c>
      <x:c r="J48" s="7" t="str">
        <x:v>Strong work photos and established company</x:v>
      </x:c>
      <x:c r="K48" s="7" t="str">
        <x:v>Medium</x:v>
      </x:c>
      <x:c r="L48" s="7" t="str">
        <x:v>New - medium priority</x:v>
      </x:c>
      <x:c r="M48" s="7" t="str">
        <x:v>User screenshot</x:v>
      </x:c>
      <x:c r="N48" s="7" t="str">
        <x:v>https://www.google.com/maps</x:v>
      </x:c>
      <x:c r="O48" s="9" t="n">
        <x:f>IF(H48="No",2,0)+IF(D48&lt;&gt;"Not visible",2,0)+IF(E48&gt;=4.5,3,IF(E48&gt;=4,2,IF(E48&gt;=3,1,0)))+IF(F48&gt;=10,3,IF(F48&gt;=3,2,IF(F48&gt;=1,1,0)))</x:f>
        <x:v>8</x:v>
      </x:c>
    </x:row>
    <x:row r="49">
      <x:c r="A49" s="7" t="n">
        <x:v>48</x:v>
      </x:c>
      <x:c r="B49" s="7" t="str">
        <x:v>Southern Plumbing</x:v>
      </x:c>
      <x:c r="C49" s="7" t="str">
        <x:v>Johannesburg</x:v>
      </x:c>
      <x:c r="D49" s="7" t="str">
        <x:v>011 683 5434</x:v>
      </x:c>
      <x:c r="E49" s="8" t="n">
        <x:v>4.6</x:v>
      </x:c>
      <x:c r="F49" s="9" t="n">
        <x:v>14</x:v>
      </x:c>
      <x:c r="G49" s="7" t="str">
        <x:v>10+</x:v>
      </x:c>
      <x:c r="H49" s="7" t="str">
        <x:v>No</x:v>
      </x:c>
      <x:c r="I49" s="7" t="str">
        <x:v>Not visible</x:v>
      </x:c>
      <x:c r="J49" s="7" t="str">
        <x:v>Established firm; reviews praise same-day service and pricing</x:v>
      </x:c>
      <x:c r="K49" s="7" t="str">
        <x:v>Highest</x:v>
      </x:c>
      <x:c r="L49" s="7" t="str">
        <x:v>New - highest priority</x:v>
      </x:c>
      <x:c r="M49" s="7" t="str">
        <x:v>User screenshot</x:v>
      </x:c>
      <x:c r="N49" s="7" t="str">
        <x:v>https://www.google.com/maps</x:v>
      </x:c>
      <x:c r="O49" s="9" t="n">
        <x:f>IF(H49="No",2,0)+IF(D49&lt;&gt;"Not visible",2,0)+IF(E49&gt;=4.5,3,IF(E49&gt;=4,2,IF(E49&gt;=3,1,0)))+IF(F49&gt;=10,3,IF(F49&gt;=3,2,IF(F49&gt;=1,1,0)))</x:f>
        <x:v>10</x:v>
      </x:c>
    </x:row>
    <x:row r="50">
      <x:c r="A50" s="7" t="n">
        <x:v>49</x:v>
      </x:c>
      <x:c r="B50" s="7" t="str">
        <x:v>Makola and Thobejane Holdings</x:v>
      </x:c>
      <x:c r="C50" s="7" t="str">
        <x:v>Alexandra, Sandton, 2090</x:v>
      </x:c>
      <x:c r="D50" s="7" t="str">
        <x:v>079 486 7659</x:v>
      </x:c>
      <x:c r="E50" s="8" t="n">
        <x:v>5</x:v>
      </x:c>
      <x:c r="F50" s="9" t="n">
        <x:v>1</x:v>
      </x:c>
      <x:c r="G50" s="7" t="str">
        <x:v>Not visible</x:v>
      </x:c>
      <x:c r="H50" s="7" t="str">
        <x:v>No</x:v>
      </x:c>
      <x:c r="I50" s="7" t="str">
        <x:v>Opens 8am</x:v>
      </x:c>
      <x:c r="J50" s="7" t="str">
        <x:v>Construction/handyman firm offering plumbing; needs broader site</x:v>
      </x:c>
      <x:c r="K50" s="7" t="str">
        <x:v>Medium</x:v>
      </x:c>
      <x:c r="L50" s="7" t="str">
        <x:v>New - customised pitch</x:v>
      </x:c>
      <x:c r="M50" s="7" t="str">
        <x:v>User screenshot</x:v>
      </x:c>
      <x:c r="N50" s="7" t="str">
        <x:v>https://www.google.com/maps</x:v>
      </x:c>
      <x:c r="O50" s="9" t="n">
        <x:f>IF(H50="No",2,0)+IF(D50&lt;&gt;"Not visible",2,0)+IF(E50&gt;=4.5,3,IF(E50&gt;=4,2,IF(E50&gt;=3,1,0)))+IF(F50&gt;=10,3,IF(F50&gt;=3,2,IF(F50&gt;=1,1,0)))</x:f>
        <x:v>8</x:v>
      </x:c>
    </x:row>
    <x:row r="51">
      <x:c r="A51" s="7" t="n">
        <x:v>50</x:v>
      </x:c>
      <x:c r="B51" s="7" t="str">
        <x:v>Andy's Plumbing (Pty) Ltd</x:v>
      </x:c>
      <x:c r="C51" s="7" t="str">
        <x:v>Johannesburg</x:v>
      </x:c>
      <x:c r="D51" s="7" t="str">
        <x:v>083 294 8436</x:v>
      </x:c>
      <x:c r="E51" s="8" t="n">
        <x:v>0</x:v>
      </x:c>
      <x:c r="F51" s="9" t="n">
        <x:v>0</x:v>
      </x:c>
      <x:c r="G51" s="7" t="str">
        <x:v>5+</x:v>
      </x:c>
      <x:c r="H51" s="7" t="str">
        <x:v>No</x:v>
      </x:c>
      <x:c r="I51" s="7" t="str">
        <x:v>Opens 8am</x:v>
      </x:c>
      <x:c r="J51" s="7" t="str">
        <x:v>No reviews; reachable and established listing</x:v>
      </x:c>
      <x:c r="K51" s="7" t="str">
        <x:v>Low</x:v>
      </x:c>
      <x:c r="L51" s="7" t="str">
        <x:v>New - nurture</x:v>
      </x:c>
      <x:c r="M51" s="7" t="str">
        <x:v>User screenshot</x:v>
      </x:c>
      <x:c r="N51" s="7" t="str">
        <x:v>https://www.google.com/maps</x:v>
      </x:c>
      <x:c r="O51" s="9" t="n">
        <x:f>IF(H51="No",2,0)+IF(D51&lt;&gt;"Not visible",2,0)+IF(E51&gt;=4.5,3,IF(E51&gt;=4,2,IF(E51&gt;=3,1,0)))+IF(F51&gt;=10,3,IF(F51&gt;=3,2,IF(F51&gt;=1,1,0)))</x:f>
        <x:v>4</x:v>
      </x:c>
    </x:row>
    <x:row r="52">
      <x:c r="A52" s="7" t="n">
        <x:v>51</x:v>
      </x:c>
      <x:c r="B52" s="7" t="str">
        <x:v>Mugandas Plumbing &amp; Renovations</x:v>
      </x:c>
      <x:c r="C52" s="7" t="str">
        <x:v>Johannesburg</x:v>
      </x:c>
      <x:c r="D52" s="7" t="str">
        <x:v>073 471 3654</x:v>
      </x:c>
      <x:c r="E52" s="8" t="n">
        <x:v>0</x:v>
      </x:c>
      <x:c r="F52" s="9" t="n">
        <x:v>0</x:v>
      </x:c>
      <x:c r="G52" s="7" t="str">
        <x:v>10+</x:v>
      </x:c>
      <x:c r="H52" s="7" t="str">
        <x:v>No</x:v>
      </x:c>
      <x:c r="I52" s="7" t="str">
        <x:v>Open 24 hours</x:v>
      </x:c>
      <x:c r="J52" s="7" t="str">
        <x:v>Online estimates and long history</x:v>
      </x:c>
      <x:c r="K52" s="7" t="str">
        <x:v>Medium</x:v>
      </x:c>
      <x:c r="L52" s="7" t="str">
        <x:v>New - medium priority</x:v>
      </x:c>
      <x:c r="M52" s="7" t="str">
        <x:v>User screenshot</x:v>
      </x:c>
      <x:c r="N52" s="7" t="str">
        <x:v>https://www.google.com/maps</x:v>
      </x:c>
      <x:c r="O52" s="9" t="n">
        <x:f>IF(H52="No",2,0)+IF(D52&lt;&gt;"Not visible",2,0)+IF(E52&gt;=4.5,3,IF(E52&gt;=4,2,IF(E52&gt;=3,1,0)))+IF(F52&gt;=10,3,IF(F52&gt;=3,2,IF(F52&gt;=1,1,0)))</x:f>
        <x:v>4</x:v>
      </x:c>
    </x:row>
    <x:row r="53">
      <x:c r="A53" s="7" t="n">
        <x:v>52</x:v>
      </x:c>
      <x:c r="B53" s="7" t="str">
        <x:v>Plumber Sandton &amp; Geyser Repair</x:v>
      </x:c>
      <x:c r="C53" s="7" t="str">
        <x:v>Sandton</x:v>
      </x:c>
      <x:c r="D53" s="7" t="str">
        <x:v>073 104 9658</x:v>
      </x:c>
      <x:c r="E53" s="8" t="n">
        <x:v>3</x:v>
      </x:c>
      <x:c r="F53" s="9" t="n">
        <x:v>2</x:v>
      </x:c>
      <x:c r="G53" s="7" t="str">
        <x:v>5+</x:v>
      </x:c>
      <x:c r="H53" s="7" t="str">
        <x:v>No</x:v>
      </x:c>
      <x:c r="I53" s="7" t="str">
        <x:v>Open until 9:30pm</x:v>
      </x:c>
      <x:c r="J53" s="7" t="str">
        <x:v>Reachable but weak rating; reputation-first offer</x:v>
      </x:c>
      <x:c r="K53" s="7" t="str">
        <x:v>Low</x:v>
      </x:c>
      <x:c r="L53" s="7" t="str">
        <x:v>New - low priority</x:v>
      </x:c>
      <x:c r="M53" s="7" t="str">
        <x:v>User screenshot</x:v>
      </x:c>
      <x:c r="N53" s="7" t="str">
        <x:v>https://www.google.com/maps</x:v>
      </x:c>
      <x:c r="O53" s="9" t="n">
        <x:f>IF(H53="No",2,0)+IF(D53&lt;&gt;"Not visible",2,0)+IF(E53&gt;=4.5,3,IF(E53&gt;=4,2,IF(E53&gt;=3,1,0)))+IF(F53&gt;=10,3,IF(F53&gt;=3,2,IF(F53&gt;=1,1,0)))</x:f>
        <x:v>6</x:v>
      </x:c>
    </x:row>
    <x:row r="54">
      <x:c r="A54" s="7" t="n">
        <x:v>53</x:v>
      </x:c>
      <x:c r="B54" s="7" t="str">
        <x:v>Active Plumbing</x:v>
      </x:c>
      <x:c r="C54" s="7" t="str">
        <x:v>Johannesburg / Sandton</x:v>
      </x:c>
      <x:c r="D54" s="7" t="str">
        <x:v>061 645 6514</x:v>
      </x:c>
      <x:c r="E54" s="8" t="n">
        <x:v>1</x:v>
      </x:c>
      <x:c r="F54" s="9" t="n">
        <x:v>2</x:v>
      </x:c>
      <x:c r="G54" s="7" t="str">
        <x:v>5+</x:v>
      </x:c>
      <x:c r="H54" s="7" t="str">
        <x:v>No</x:v>
      </x:c>
      <x:c r="I54" s="7" t="str">
        <x:v>Not visible</x:v>
      </x:c>
      <x:c r="J54" s="7" t="str">
        <x:v>Very weak rating; exclude from first outreach wave</x:v>
      </x:c>
      <x:c r="K54" s="7" t="str">
        <x:v>Low</x:v>
      </x:c>
      <x:c r="L54" s="7" t="str">
        <x:v>Do not prioritise</x:v>
      </x:c>
      <x:c r="M54" s="7" t="str">
        <x:v>User screenshot</x:v>
      </x:c>
      <x:c r="N54" s="7" t="str">
        <x:v>https://www.google.com/maps</x:v>
      </x:c>
      <x:c r="O54" s="9" t="n">
        <x:f>IF(H54="No",2,0)+IF(D54&lt;&gt;"Not visible",2,0)+IF(E54&gt;=4.5,3,IF(E54&gt;=4,2,IF(E54&gt;=3,1,0)))+IF(F54&gt;=10,3,IF(F54&gt;=3,2,IF(F54&gt;=1,1,0)))</x:f>
        <x:v>5</x:v>
      </x:c>
    </x:row>
  </x:sheetData>
  <x:conditionalFormatting sqref="K2:K54">
    <x:cfRule type="containsText" dxfId="0" priority="1" operator="containsText" text="Highest"/>
    <x:cfRule type="containsText" dxfId="1" priority="2" operator="containsText" text="Low"/>
  </x:conditionalFormatting>
  <x:dataValidations count="2">
    <x:dataValidation type="list" sqref="K2:K54">
      <x:formula1>"Highest,High,Medium,Low"</x:formula1>
    </x:dataValidation>
    <x:dataValidation type="list" sqref="L2:L54">
      <x:formula1>"New - highest priority,New - high priority,New - medium priority,New - low priority,New - nurture,Contact first,Research phone,Verify activity,Do not prioritise"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48" hidden="0" customWidth="1"/>
  </x:cols>
  <x:sheetData>
    <x:row r="1">
      <x:c r="A1" s="13" t="str">
        <x:v>Top 20 Outreach Queue — call these prospects first</x:v>
      </x:c>
      <x:c r="B1" s="13" t="str">
        <x:v>Top 20 Outreach Queue — call these prospects first</x:v>
      </x:c>
      <x:c r="C1" s="13" t="str">
        <x:v>Top 20 Outreach Queue — call these prospects first</x:v>
      </x:c>
      <x:c r="D1" s="13" t="str">
        <x:v>Top 20 Outreach Queue — call these prospects first</x:v>
      </x:c>
      <x:c r="E1" s="13" t="str">
        <x:v>Top 20 Outreach Queue — call these prospects first</x:v>
      </x:c>
      <x:c r="F1" s="13" t="str">
        <x:v>Top 20 Outreach Queue — call these prospects first</x:v>
      </x:c>
      <x:c r="G1" s="13" t="str">
        <x:v>Top 20 Outreach Queue — call these prospects first</x:v>
      </x:c>
      <x:c r="H1" s="13" t="str">
        <x:v>Top 20 Outreach Queue — call these prospects first</x:v>
      </x:c>
    </x:row>
    <x:row r="3">
      <x:c r="A3" s="16" t="str">
        <x:v>Rank</x:v>
      </x:c>
      <x:c r="B3" s="16" t="str">
        <x:v>Business</x:v>
      </x:c>
      <x:c r="C3" s="16" t="str">
        <x:v>Phone</x:v>
      </x:c>
      <x:c r="D3" s="16" t="str">
        <x:v>Area</x:v>
      </x:c>
      <x:c r="E3" s="16" t="str">
        <x:v>Rating</x:v>
      </x:c>
      <x:c r="F3" s="16" t="str">
        <x:v>Reviews</x:v>
      </x:c>
      <x:c r="G3" s="16" t="str">
        <x:v>Score</x:v>
      </x:c>
      <x:c r="H3" s="16" t="str">
        <x:v>Why it has potential</x:v>
      </x:c>
    </x:row>
    <x:row r="4">
      <x:c r="A4" s="7" t="n">
        <x:v>1</x:v>
      </x:c>
      <x:c r="B4" s="7" t="str">
        <x:v>Busani@Soweto Plumbing Services / BK Prop Dev</x:v>
      </x:c>
      <x:c r="C4" s="7" t="str">
        <x:v>073 511 8894</x:v>
      </x:c>
      <x:c r="D4" s="7" t="str">
        <x:v>14947 Amanzimtoti St, Soweto</x:v>
      </x:c>
      <x:c r="E4" s="7" t="n">
        <x:v>5</x:v>
      </x:c>
      <x:c r="F4" s="7" t="n">
        <x:v>83</x:v>
      </x:c>
      <x:c r="G4" s="7" t="n">
        <x:v>10</x:v>
      </x:c>
      <x:c r="H4" s="7" t="str">
        <x:v>Exceptional review volume; strongest new lead</x:v>
      </x:c>
    </x:row>
    <x:row r="5">
      <x:c r="A5" s="7" t="n">
        <x:v>2</x:v>
      </x:c>
      <x:c r="B5" s="7" t="str">
        <x:v>CR Plumbers &amp; Electricians-Garsfontein</x:v>
      </x:c>
      <x:c r="C5" s="7" t="str">
        <x:v>084 684 5336</x:v>
      </x:c>
      <x:c r="D5" s="7" t="str">
        <x:v>670B Windsor Rd, Garsfontein</x:v>
      </x:c>
      <x:c r="E5" s="7" t="n">
        <x:v>4.6</x:v>
      </x:c>
      <x:c r="F5" s="7" t="n">
        <x:v>44</x:v>
      </x:c>
      <x:c r="G5" s="7" t="n">
        <x:v>10</x:v>
      </x:c>
      <x:c r="H5" s="7" t="str">
        <x:v>Large review base and no website button</x:v>
      </x:c>
    </x:row>
    <x:row r="6">
      <x:c r="A6" s="7" t="n">
        <x:v>3</x:v>
      </x:c>
      <x:c r="B6" s="7" t="str">
        <x:v>ProPoint Plumbing Services</x:v>
      </x:c>
      <x:c r="C6" s="7" t="str">
        <x:v>064 654 9279</x:v>
      </x:c>
      <x:c r="D6" s="7" t="str">
        <x:v>Johannesburg / Sunninghill</x:v>
      </x:c>
      <x:c r="E6" s="7" t="n">
        <x:v>5</x:v>
      </x:c>
      <x:c r="F6" s="7" t="n">
        <x:v>31</x:v>
      </x:c>
      <x:c r="G6" s="7" t="n">
        <x:v>10</x:v>
      </x:c>
      <x:c r="H6" s="7" t="str">
        <x:v>Strong review volume and job photos</x:v>
      </x:c>
    </x:row>
    <x:row r="7">
      <x:c r="A7" s="7" t="n">
        <x:v>4</x:v>
      </x:c>
      <x:c r="B7" s="7" t="str">
        <x:v>Plumisure (Pty) Ltd</x:v>
      </x:c>
      <x:c r="C7" s="7" t="str">
        <x:v>072 937 9250</x:v>
      </x:c>
      <x:c r="D7" s="7" t="str">
        <x:v>Melville, Johannesburg</x:v>
      </x:c>
      <x:c r="E7" s="7" t="n">
        <x:v>4.8</x:v>
      </x:c>
      <x:c r="F7" s="7" t="n">
        <x:v>26</x:v>
      </x:c>
      <x:c r="G7" s="7" t="n">
        <x:v>10</x:v>
      </x:c>
      <x:c r="H7" s="7" t="str">
        <x:v>Strong review volume and emergency-plumbing positioning</x:v>
      </x:c>
    </x:row>
    <x:row r="8">
      <x:c r="A8" s="7" t="n">
        <x:v>5</x:v>
      </x:c>
      <x:c r="B8" s="7" t="str">
        <x:v>General Plumbing &amp; Maintenances</x:v>
      </x:c>
      <x:c r="C8" s="7" t="str">
        <x:v>078 522 0071</x:v>
      </x:c>
      <x:c r="D8" s="7" t="str">
        <x:v>47 Stamford St, Turffontein</x:v>
      </x:c>
      <x:c r="E8" s="7" t="n">
        <x:v>4.8</x:v>
      </x:c>
      <x:c r="F8" s="7" t="n">
        <x:v>19</x:v>
      </x:c>
      <x:c r="G8" s="7" t="n">
        <x:v>10</x:v>
      </x:c>
      <x:c r="H8" s="7" t="str">
        <x:v>Strong reviews; local service business</x:v>
      </x:c>
    </x:row>
    <x:row r="9">
      <x:c r="A9" s="7" t="n">
        <x:v>6</x:v>
      </x:c>
      <x:c r="B9" s="7" t="str">
        <x:v>Marcello Pronto Plumbing &amp; Handyman Services</x:v>
      </x:c>
      <x:c r="C9" s="7" t="str">
        <x:v>+351 912 942 688</x:v>
      </x:c>
      <x:c r="D9" s="7" t="str">
        <x:v>Sandton and nearby areas</x:v>
      </x:c>
      <x:c r="E9" s="7" t="n">
        <x:v>5</x:v>
      </x:c>
      <x:c r="F9" s="7" t="n">
        <x:v>18</x:v>
      </x:c>
      <x:c r="G9" s="7" t="n">
        <x:v>10</x:v>
      </x:c>
      <x:c r="H9" s="7" t="str">
        <x:v>Strong work photos; international number must be verified</x:v>
      </x:c>
    </x:row>
    <x:row r="10">
      <x:c r="A10" s="7" t="n">
        <x:v>7</x:v>
      </x:c>
      <x:c r="B10" s="7" t="str">
        <x:v>SIMZA MASIZA PLUMBERS</x:v>
      </x:c>
      <x:c r="C10" s="7" t="str">
        <x:v>078 194 9005</x:v>
      </x:c>
      <x:c r="D10" s="7" t="str">
        <x:v>3671 Diepkloof, Soweto</x:v>
      </x:c>
      <x:c r="E10" s="7" t="n">
        <x:v>4.9</x:v>
      </x:c>
      <x:c r="F10" s="7" t="n">
        <x:v>15</x:v>
      </x:c>
      <x:c r="G10" s="7" t="n">
        <x:v>10</x:v>
      </x:c>
      <x:c r="H10" s="7" t="str">
        <x:v>Strong reviews and 24-hour availability</x:v>
      </x:c>
    </x:row>
    <x:row r="11">
      <x:c r="A11" s="7" t="n">
        <x:v>8</x:v>
      </x:c>
      <x:c r="B11" s="7" t="str">
        <x:v>Southern Plumbing</x:v>
      </x:c>
      <x:c r="C11" s="7" t="str">
        <x:v>011 683 5434</x:v>
      </x:c>
      <x:c r="D11" s="7" t="str">
        <x:v>Johannesburg</x:v>
      </x:c>
      <x:c r="E11" s="7" t="n">
        <x:v>4.6</x:v>
      </x:c>
      <x:c r="F11" s="7" t="n">
        <x:v>14</x:v>
      </x:c>
      <x:c r="G11" s="7" t="n">
        <x:v>10</x:v>
      </x:c>
      <x:c r="H11" s="7" t="str">
        <x:v>Established firm; reviews praise same-day service and pricing</x:v>
      </x:c>
    </x:row>
    <x:row r="12">
      <x:c r="A12" s="7" t="n">
        <x:v>9</x:v>
      </x:c>
      <x:c r="B12" s="7" t="str">
        <x:v>Plumbsmart Plumbers</x:v>
      </x:c>
      <x:c r="C12" s="7" t="str">
        <x:v>078 737 8559</x:v>
      </x:c>
      <x:c r="D12" s="7" t="str">
        <x:v>Hutton St, Centurion</x:v>
      </x:c>
      <x:c r="E12" s="7" t="n">
        <x:v>5</x:v>
      </x:c>
      <x:c r="F12" s="7" t="n">
        <x:v>13</x:v>
      </x:c>
      <x:c r="G12" s="7" t="n">
        <x:v>10</x:v>
      </x:c>
      <x:c r="H12" s="7" t="str">
        <x:v>Strong reviews; customers praise reliability</x:v>
      </x:c>
    </x:row>
    <x:row r="13">
      <x:c r="A13" s="7" t="n">
        <x:v>10</x:v>
      </x:c>
      <x:c r="B13" s="7" t="str">
        <x:v>Cronos Rooihuiskraal Plumbers &amp; Electricians</x:v>
      </x:c>
      <x:c r="C13" s="7" t="str">
        <x:v>084 345 9607</x:v>
      </x:c>
      <x:c r="D13" s="7" t="str">
        <x:v>43 Hornbill Ave, Centurion</x:v>
      </x:c>
      <x:c r="E13" s="7" t="n">
        <x:v>5</x:v>
      </x:c>
      <x:c r="F13" s="7" t="n">
        <x:v>13</x:v>
      </x:c>
      <x:c r="G13" s="7" t="n">
        <x:v>10</x:v>
      </x:c>
      <x:c r="H13" s="7" t="str">
        <x:v>Strong reviews; combined plumbing/electrical offer</x:v>
      </x:c>
    </x:row>
    <x:row r="14">
      <x:c r="A14" s="7" t="n">
        <x:v>11</x:v>
      </x:c>
      <x:c r="B14" s="7" t="str">
        <x:v>GENC PLUMBING</x:v>
      </x:c>
      <x:c r="C14" s="7" t="str">
        <x:v>065 078 1680</x:v>
      </x:c>
      <x:c r="D14" s="7" t="str">
        <x:v>Alberton / Johannesburg</x:v>
      </x:c>
      <x:c r="E14" s="7" t="n">
        <x:v>4.7</x:v>
      </x:c>
      <x:c r="F14" s="7" t="n">
        <x:v>10</x:v>
      </x:c>
      <x:c r="G14" s="7" t="n">
        <x:v>10</x:v>
      </x:c>
      <x:c r="H14" s="7" t="str">
        <x:v>Strong review count and prompt-service feedback</x:v>
      </x:c>
    </x:row>
    <x:row r="15">
      <x:c r="A15" s="7" t="n">
        <x:v>12</x:v>
      </x:c>
      <x:c r="B15" s="7" t="str">
        <x:v>MacRamos Plumbing</x:v>
      </x:c>
      <x:c r="C15" s="7" t="str">
        <x:v>082 550 3306</x:v>
      </x:c>
      <x:c r="D15" s="7" t="str">
        <x:v>58 Stiglingh Rd, Edenburg, Sandton, 2128</x:v>
      </x:c>
      <x:c r="E15" s="7" t="n">
        <x:v>5</x:v>
      </x:c>
      <x:c r="F15" s="7" t="n">
        <x:v>7</x:v>
      </x:c>
      <x:c r="G15" s="7" t="n">
        <x:v>9</x:v>
      </x:c>
      <x:c r="H15" s="7" t="str">
        <x:v>Branded vehicle, strong photos and seven five-star reviews</x:v>
      </x:c>
    </x:row>
    <x:row r="16">
      <x:c r="A16" s="7" t="n">
        <x:v>13</x:v>
      </x:c>
      <x:c r="B16" s="7" t="str">
        <x:v>Frankenwald Air Conditioning &amp; Plumbers-Sandton</x:v>
      </x:c>
      <x:c r="C16" s="7" t="str">
        <x:v>084 058 4054</x:v>
      </x:c>
      <x:c r="D16" s="7" t="str">
        <x:v>Linbro Business Park, Sandton</x:v>
      </x:c>
      <x:c r="E16" s="7" t="n">
        <x:v>5</x:v>
      </x:c>
      <x:c r="F16" s="7" t="n">
        <x:v>6</x:v>
      </x:c>
      <x:c r="G16" s="7" t="n">
        <x:v>9</x:v>
      </x:c>
      <x:c r="H16" s="7" t="str">
        <x:v>Combined air-conditioning and plumbing offer; customise pitch</x:v>
      </x:c>
    </x:row>
    <x:row r="17">
      <x:c r="A17" s="7" t="n">
        <x:v>14</x:v>
      </x:c>
      <x:c r="B17" s="7" t="str">
        <x:v>B&amp;T Plumbers</x:v>
      </x:c>
      <x:c r="C17" s="7" t="str">
        <x:v>072 181 9619</x:v>
      </x:c>
      <x:c r="D17" s="7" t="str">
        <x:v>Shop 11 Industrial Park, Soweto</x:v>
      </x:c>
      <x:c r="E17" s="7" t="n">
        <x:v>4.7</x:v>
      </x:c>
      <x:c r="F17" s="7" t="n">
        <x:v>6</x:v>
      </x:c>
      <x:c r="G17" s="7" t="n">
        <x:v>9</x:v>
      </x:c>
      <x:c r="H17" s="7" t="str">
        <x:v>Good reviews and clear premises</x:v>
      </x:c>
    </x:row>
    <x:row r="18">
      <x:c r="A18" s="7" t="n">
        <x:v>15</x:v>
      </x:c>
      <x:c r="B18" s="7" t="str">
        <x:v>Pretoria East Emergency Plumbers</x:v>
      </x:c>
      <x:c r="C18" s="7" t="str">
        <x:v>067 457 4027</x:v>
      </x:c>
      <x:c r="D18" s="7" t="str">
        <x:v>Pretoria East</x:v>
      </x:c>
      <x:c r="E18" s="7" t="n">
        <x:v>5</x:v>
      </x:c>
      <x:c r="F18" s="7" t="n">
        <x:v>5</x:v>
      </x:c>
      <x:c r="G18" s="7" t="n">
        <x:v>9</x:v>
      </x:c>
      <x:c r="H18" s="7" t="str">
        <x:v>Emergency positioning; reviews praise speed</x:v>
      </x:c>
    </x:row>
    <x:row r="19">
      <x:c r="A19" s="7" t="n">
        <x:v>16</x:v>
      </x:c>
      <x:c r="B19" s="7" t="str">
        <x:v>Msimanga Plumbing and Sanitary Services</x:v>
      </x:c>
      <x:c r="C19" s="7" t="str">
        <x:v>011 264 1529</x:v>
      </x:c>
      <x:c r="D19" s="7" t="str">
        <x:v>17 Republic Cir, Johannesburg</x:v>
      </x:c>
      <x:c r="E19" s="7" t="n">
        <x:v>5</x:v>
      </x:c>
      <x:c r="F19" s="7" t="n">
        <x:v>5</x:v>
      </x:c>
      <x:c r="G19" s="7" t="n">
        <x:v>9</x:v>
      </x:c>
      <x:c r="H19" s="7" t="str">
        <x:v>Perfect rating and clear local address</x:v>
      </x:c>
    </x:row>
    <x:row r="20">
      <x:c r="A20" s="7" t="n">
        <x:v>17</x:v>
      </x:c>
      <x:c r="B20" s="7" t="str">
        <x:v>MRI Plumbers</x:v>
      </x:c>
      <x:c r="C20" s="7" t="str">
        <x:v>082 838 9869</x:v>
      </x:c>
      <x:c r="D20" s="7" t="str">
        <x:v>Johannesburg</x:v>
      </x:c>
      <x:c r="E20" s="7" t="n">
        <x:v>5</x:v>
      </x:c>
      <x:c r="F20" s="7" t="n">
        <x:v>4</x:v>
      </x:c>
      <x:c r="G20" s="7" t="n">
        <x:v>9</x:v>
      </x:c>
      <x:c r="H20" s="7" t="str">
        <x:v>Reviews praise punctuality and workmanship; verify activity</x:v>
      </x:c>
    </x:row>
    <x:row r="21">
      <x:c r="A21" s="7" t="n">
        <x:v>18</x:v>
      </x:c>
      <x:c r="B21" s="7" t="str">
        <x:v>Alvora Plumbers Johannesburg</x:v>
      </x:c>
      <x:c r="C21" s="7" t="str">
        <x:v>079 340 4116</x:v>
      </x:c>
      <x:c r="D21" s="7" t="str">
        <x:v>Johannesburg</x:v>
      </x:c>
      <x:c r="E21" s="7" t="n">
        <x:v>4.7</x:v>
      </x:c>
      <x:c r="F21" s="7" t="n">
        <x:v>3</x:v>
      </x:c>
      <x:c r="G21" s="7" t="n">
        <x:v>9</x:v>
      </x:c>
      <x:c r="H21" s="7" t="str">
        <x:v>General plumbing; few reviews</x:v>
      </x:c>
    </x:row>
    <x:row r="22">
      <x:c r="A22" s="7" t="n">
        <x:v>19</x:v>
      </x:c>
      <x:c r="B22" s="7" t="str">
        <x:v>Nick Roberts Plumbing (Pty) Ltd</x:v>
      </x:c>
      <x:c r="C22" s="7" t="str">
        <x:v>011 318 1485</x:v>
      </x:c>
      <x:c r="D22" s="7" t="str">
        <x:v>Johannesburg / Sandton</x:v>
      </x:c>
      <x:c r="E22" s="7" t="n">
        <x:v>5</x:v>
      </x:c>
      <x:c r="F22" s="7" t="n">
        <x:v>3</x:v>
      </x:c>
      <x:c r="G22" s="7" t="n">
        <x:v>9</x:v>
      </x:c>
      <x:c r="H22" s="7" t="str">
        <x:v>Reviews praise expertise and quick service</x:v>
      </x:c>
    </x:row>
    <x:row r="23">
      <x:c r="A23" s="7" t="n">
        <x:v>20</x:v>
      </x:c>
      <x:c r="B23" s="7" t="str">
        <x:v>Eco Plumbers Pretoria</x:v>
      </x:c>
      <x:c r="C23" s="7" t="str">
        <x:v>078 418 9565</x:v>
      </x:c>
      <x:c r="D23" s="7" t="str">
        <x:v>318 Border W Rd, Pretoria</x:v>
      </x:c>
      <x:c r="E23" s="7" t="n">
        <x:v>5</x:v>
      </x:c>
      <x:c r="F23" s="7" t="n">
        <x:v>3</x:v>
      </x:c>
      <x:c r="G23" s="7" t="n">
        <x:v>9</x:v>
      </x:c>
      <x:c r="H23" s="7" t="str">
        <x:v>Positive recommendation; reachable number</x:v>
      </x:c>
    </x:row>
  </x:sheetData>
  <x:mergeCells>
    <x:mergeCell ref="A1:H1"/>
  </x:mergeCells>
  <x:pageMargins left="0.7" right="0.7" top="0.75" bottom="0.75" header="0.3" footer="0.3"/>
</x:worksheet>
</file>